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shar\Downloads\"/>
    </mc:Choice>
  </mc:AlternateContent>
  <xr:revisionPtr revIDLastSave="0" documentId="13_ncr:1_{2CD77224-24D8-4E2F-B529-C35657C6A1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85-INVENTORY" sheetId="1" r:id="rId1"/>
    <sheet name="TOWER-A-57" sheetId="2" r:id="rId2"/>
    <sheet name="TOWER-B-127" sheetId="3" r:id="rId3"/>
    <sheet name="TOWER-C-132" sheetId="4" r:id="rId4"/>
    <sheet name="TOWER-VAULT-83" sheetId="5" r:id="rId5"/>
    <sheet name="Shop-Commercial-8" sheetId="6" r:id="rId6"/>
    <sheet name="15-07-26" sheetId="7" r:id="rId7"/>
  </sheets>
  <calcPr calcId="191029"/>
</workbook>
</file>

<file path=xl/calcChain.xml><?xml version="1.0" encoding="utf-8"?>
<calcChain xmlns="http://schemas.openxmlformats.org/spreadsheetml/2006/main">
  <c r="M486" i="1" l="1"/>
  <c r="I486" i="1"/>
  <c r="G486" i="1"/>
  <c r="L486" i="1" s="1"/>
  <c r="L485" i="1"/>
  <c r="I485" i="1"/>
  <c r="M485" i="1" s="1"/>
  <c r="G485" i="1"/>
  <c r="M484" i="1"/>
  <c r="I484" i="1"/>
  <c r="G484" i="1"/>
  <c r="L484" i="1" s="1"/>
  <c r="M483" i="1"/>
  <c r="I483" i="1"/>
  <c r="E483" i="1"/>
  <c r="G483" i="1" s="1"/>
  <c r="M482" i="1"/>
  <c r="I482" i="1"/>
  <c r="G482" i="1"/>
  <c r="L482" i="1" s="1"/>
  <c r="M481" i="1"/>
  <c r="I481" i="1"/>
  <c r="E481" i="1"/>
  <c r="G481" i="1" s="1"/>
  <c r="M480" i="1"/>
  <c r="I480" i="1"/>
  <c r="G480" i="1"/>
  <c r="L480" i="1" s="1"/>
  <c r="M479" i="1"/>
  <c r="L479" i="1"/>
  <c r="I479" i="1"/>
  <c r="G479" i="1"/>
  <c r="I478" i="1"/>
  <c r="M478" i="1" s="1"/>
  <c r="E478" i="1"/>
  <c r="G478" i="1" s="1"/>
  <c r="L477" i="1"/>
  <c r="I477" i="1"/>
  <c r="M477" i="1" s="1"/>
  <c r="G477" i="1"/>
  <c r="I476" i="1"/>
  <c r="M476" i="1" s="1"/>
  <c r="G476" i="1"/>
  <c r="L476" i="1" s="1"/>
  <c r="I475" i="1"/>
  <c r="M475" i="1" s="1"/>
  <c r="E475" i="1"/>
  <c r="G475" i="1" s="1"/>
  <c r="I474" i="1"/>
  <c r="M474" i="1" s="1"/>
  <c r="G474" i="1"/>
  <c r="L474" i="1" s="1"/>
  <c r="I473" i="1"/>
  <c r="M473" i="1" s="1"/>
  <c r="G473" i="1"/>
  <c r="L473" i="1" s="1"/>
  <c r="I472" i="1"/>
  <c r="M472" i="1" s="1"/>
  <c r="G472" i="1"/>
  <c r="L472" i="1" s="1"/>
  <c r="M471" i="1"/>
  <c r="L471" i="1"/>
  <c r="I471" i="1"/>
  <c r="G471" i="1"/>
  <c r="I470" i="1"/>
  <c r="M470" i="1" s="1"/>
  <c r="G470" i="1"/>
  <c r="L470" i="1" s="1"/>
  <c r="I469" i="1"/>
  <c r="M469" i="1" s="1"/>
  <c r="G469" i="1"/>
  <c r="E469" i="1"/>
  <c r="I468" i="1"/>
  <c r="M468" i="1" s="1"/>
  <c r="G468" i="1"/>
  <c r="L468" i="1" s="1"/>
  <c r="I467" i="1"/>
  <c r="M467" i="1" s="1"/>
  <c r="E467" i="1"/>
  <c r="G467" i="1" s="1"/>
  <c r="I466" i="1"/>
  <c r="M466" i="1" s="1"/>
  <c r="G466" i="1"/>
  <c r="L466" i="1" s="1"/>
  <c r="I465" i="1"/>
  <c r="M465" i="1" s="1"/>
  <c r="G465" i="1"/>
  <c r="L465" i="1" s="1"/>
  <c r="I464" i="1"/>
  <c r="M464" i="1" s="1"/>
  <c r="E464" i="1"/>
  <c r="G464" i="1" s="1"/>
  <c r="M463" i="1"/>
  <c r="L463" i="1"/>
  <c r="I463" i="1"/>
  <c r="G463" i="1"/>
  <c r="I462" i="1"/>
  <c r="M462" i="1" s="1"/>
  <c r="G462" i="1"/>
  <c r="L462" i="1" s="1"/>
  <c r="L461" i="1"/>
  <c r="I461" i="1"/>
  <c r="M461" i="1" s="1"/>
  <c r="G461" i="1"/>
  <c r="I460" i="1"/>
  <c r="M460" i="1" s="1"/>
  <c r="G460" i="1"/>
  <c r="L460" i="1" s="1"/>
  <c r="I459" i="1"/>
  <c r="M459" i="1" s="1"/>
  <c r="E459" i="1"/>
  <c r="G459" i="1" s="1"/>
  <c r="I458" i="1"/>
  <c r="M458" i="1" s="1"/>
  <c r="E458" i="1"/>
  <c r="G458" i="1" s="1"/>
  <c r="I457" i="1"/>
  <c r="M457" i="1" s="1"/>
  <c r="G457" i="1"/>
  <c r="L457" i="1" s="1"/>
  <c r="I456" i="1"/>
  <c r="M456" i="1" s="1"/>
  <c r="G456" i="1"/>
  <c r="L456" i="1" s="1"/>
  <c r="M455" i="1"/>
  <c r="L455" i="1"/>
  <c r="I455" i="1"/>
  <c r="G455" i="1"/>
  <c r="I454" i="1"/>
  <c r="M454" i="1" s="1"/>
  <c r="G454" i="1"/>
  <c r="L454" i="1" s="1"/>
  <c r="L453" i="1"/>
  <c r="I453" i="1"/>
  <c r="M453" i="1" s="1"/>
  <c r="G453" i="1"/>
  <c r="I452" i="1"/>
  <c r="M452" i="1" s="1"/>
  <c r="G452" i="1"/>
  <c r="L452" i="1" s="1"/>
  <c r="I451" i="1"/>
  <c r="M451" i="1" s="1"/>
  <c r="E451" i="1"/>
  <c r="G451" i="1" s="1"/>
  <c r="I450" i="1"/>
  <c r="M450" i="1" s="1"/>
  <c r="G450" i="1"/>
  <c r="L450" i="1" s="1"/>
  <c r="I449" i="1"/>
  <c r="M449" i="1" s="1"/>
  <c r="G449" i="1"/>
  <c r="L449" i="1" s="1"/>
  <c r="I448" i="1"/>
  <c r="M448" i="1" s="1"/>
  <c r="G448" i="1"/>
  <c r="I447" i="1"/>
  <c r="M447" i="1" s="1"/>
  <c r="G447" i="1"/>
  <c r="M446" i="1"/>
  <c r="L446" i="1"/>
  <c r="I446" i="1"/>
  <c r="G446" i="1"/>
  <c r="I445" i="1"/>
  <c r="M445" i="1" s="1"/>
  <c r="G445" i="1"/>
  <c r="L445" i="1" s="1"/>
  <c r="M444" i="1"/>
  <c r="L444" i="1"/>
  <c r="I444" i="1"/>
  <c r="G444" i="1"/>
  <c r="I443" i="1"/>
  <c r="M443" i="1" s="1"/>
  <c r="G443" i="1"/>
  <c r="E443" i="1"/>
  <c r="I442" i="1"/>
  <c r="M442" i="1" s="1"/>
  <c r="E442" i="1"/>
  <c r="G442" i="1" s="1"/>
  <c r="I441" i="1"/>
  <c r="M441" i="1" s="1"/>
  <c r="G441" i="1"/>
  <c r="L441" i="1" s="1"/>
  <c r="I440" i="1"/>
  <c r="M440" i="1" s="1"/>
  <c r="E440" i="1"/>
  <c r="G440" i="1" s="1"/>
  <c r="I439" i="1"/>
  <c r="M439" i="1" s="1"/>
  <c r="G439" i="1"/>
  <c r="L439" i="1" s="1"/>
  <c r="M438" i="1"/>
  <c r="L438" i="1"/>
  <c r="I438" i="1"/>
  <c r="G438" i="1"/>
  <c r="I437" i="1"/>
  <c r="M437" i="1" s="1"/>
  <c r="G437" i="1"/>
  <c r="L437" i="1" s="1"/>
  <c r="M436" i="1"/>
  <c r="L436" i="1"/>
  <c r="I436" i="1"/>
  <c r="G436" i="1"/>
  <c r="I435" i="1"/>
  <c r="M435" i="1" s="1"/>
  <c r="G435" i="1"/>
  <c r="L435" i="1" s="1"/>
  <c r="M434" i="1"/>
  <c r="I434" i="1"/>
  <c r="E434" i="1"/>
  <c r="G434" i="1" s="1"/>
  <c r="I433" i="1"/>
  <c r="M433" i="1" s="1"/>
  <c r="G433" i="1"/>
  <c r="E433" i="1"/>
  <c r="M432" i="1"/>
  <c r="L432" i="1"/>
  <c r="I432" i="1"/>
  <c r="G432" i="1"/>
  <c r="I431" i="1"/>
  <c r="M431" i="1" s="1"/>
  <c r="G431" i="1"/>
  <c r="L431" i="1" s="1"/>
  <c r="M430" i="1"/>
  <c r="L430" i="1"/>
  <c r="I430" i="1"/>
  <c r="G430" i="1"/>
  <c r="I429" i="1"/>
  <c r="M429" i="1" s="1"/>
  <c r="G429" i="1"/>
  <c r="L429" i="1" s="1"/>
  <c r="M428" i="1"/>
  <c r="L428" i="1"/>
  <c r="I428" i="1"/>
  <c r="G428" i="1"/>
  <c r="I427" i="1"/>
  <c r="M427" i="1" s="1"/>
  <c r="G427" i="1"/>
  <c r="L427" i="1" s="1"/>
  <c r="M426" i="1"/>
  <c r="L426" i="1"/>
  <c r="I426" i="1"/>
  <c r="G426" i="1"/>
  <c r="I425" i="1"/>
  <c r="M425" i="1" s="1"/>
  <c r="G425" i="1"/>
  <c r="L425" i="1" s="1"/>
  <c r="I424" i="1"/>
  <c r="M424" i="1" s="1"/>
  <c r="E424" i="1"/>
  <c r="G424" i="1" s="1"/>
  <c r="I423" i="1"/>
  <c r="M423" i="1" s="1"/>
  <c r="G423" i="1"/>
  <c r="M422" i="1"/>
  <c r="L422" i="1"/>
  <c r="I422" i="1"/>
  <c r="G422" i="1"/>
  <c r="I421" i="1"/>
  <c r="M421" i="1" s="1"/>
  <c r="G421" i="1"/>
  <c r="L421" i="1" s="1"/>
  <c r="L420" i="1"/>
  <c r="I420" i="1"/>
  <c r="M420" i="1" s="1"/>
  <c r="G420" i="1"/>
  <c r="I419" i="1"/>
  <c r="M419" i="1" s="1"/>
  <c r="G419" i="1"/>
  <c r="L419" i="1" s="1"/>
  <c r="M418" i="1"/>
  <c r="L418" i="1"/>
  <c r="I418" i="1"/>
  <c r="G418" i="1"/>
  <c r="I417" i="1"/>
  <c r="M417" i="1" s="1"/>
  <c r="G417" i="1"/>
  <c r="L417" i="1" s="1"/>
  <c r="L416" i="1"/>
  <c r="I416" i="1"/>
  <c r="M416" i="1" s="1"/>
  <c r="G416" i="1"/>
  <c r="I415" i="1"/>
  <c r="M415" i="1" s="1"/>
  <c r="G415" i="1"/>
  <c r="L415" i="1" s="1"/>
  <c r="M414" i="1"/>
  <c r="L414" i="1"/>
  <c r="I414" i="1"/>
  <c r="G414" i="1"/>
  <c r="I413" i="1"/>
  <c r="M413" i="1" s="1"/>
  <c r="G413" i="1"/>
  <c r="L413" i="1" s="1"/>
  <c r="L412" i="1"/>
  <c r="I412" i="1"/>
  <c r="M412" i="1" s="1"/>
  <c r="G412" i="1"/>
  <c r="I411" i="1"/>
  <c r="G411" i="1"/>
  <c r="L410" i="1"/>
  <c r="I410" i="1"/>
  <c r="M410" i="1" s="1"/>
  <c r="G410" i="1"/>
  <c r="M409" i="1"/>
  <c r="I409" i="1"/>
  <c r="G409" i="1"/>
  <c r="L409" i="1" s="1"/>
  <c r="I408" i="1"/>
  <c r="M408" i="1" s="1"/>
  <c r="G408" i="1"/>
  <c r="L408" i="1" s="1"/>
  <c r="I407" i="1"/>
  <c r="E407" i="1"/>
  <c r="G407" i="1" s="1"/>
  <c r="I406" i="1"/>
  <c r="M406" i="1" s="1"/>
  <c r="G406" i="1"/>
  <c r="L406" i="1" s="1"/>
  <c r="M405" i="1"/>
  <c r="L405" i="1"/>
  <c r="I405" i="1"/>
  <c r="G405" i="1"/>
  <c r="I404" i="1"/>
  <c r="M404" i="1" s="1"/>
  <c r="G404" i="1"/>
  <c r="L404" i="1" s="1"/>
  <c r="M403" i="1"/>
  <c r="L403" i="1"/>
  <c r="I403" i="1"/>
  <c r="G403" i="1"/>
  <c r="I402" i="1"/>
  <c r="M402" i="1" s="1"/>
  <c r="E402" i="1"/>
  <c r="G402" i="1" s="1"/>
  <c r="I401" i="1"/>
  <c r="G401" i="1"/>
  <c r="E401" i="1"/>
  <c r="I400" i="1"/>
  <c r="M400" i="1" s="1"/>
  <c r="G400" i="1"/>
  <c r="L400" i="1" s="1"/>
  <c r="I399" i="1"/>
  <c r="E399" i="1"/>
  <c r="G399" i="1" s="1"/>
  <c r="I398" i="1"/>
  <c r="M398" i="1" s="1"/>
  <c r="G398" i="1"/>
  <c r="L398" i="1" s="1"/>
  <c r="M397" i="1"/>
  <c r="L397" i="1"/>
  <c r="I397" i="1"/>
  <c r="G397" i="1"/>
  <c r="I396" i="1"/>
  <c r="M396" i="1" s="1"/>
  <c r="G396" i="1"/>
  <c r="L396" i="1" s="1"/>
  <c r="L395" i="1"/>
  <c r="I395" i="1"/>
  <c r="M395" i="1" s="1"/>
  <c r="G395" i="1"/>
  <c r="I394" i="1"/>
  <c r="M394" i="1" s="1"/>
  <c r="G394" i="1"/>
  <c r="L394" i="1" s="1"/>
  <c r="M393" i="1"/>
  <c r="I393" i="1"/>
  <c r="G393" i="1"/>
  <c r="L393" i="1" s="1"/>
  <c r="I392" i="1"/>
  <c r="M392" i="1" s="1"/>
  <c r="G392" i="1"/>
  <c r="L392" i="1" s="1"/>
  <c r="I391" i="1"/>
  <c r="E391" i="1"/>
  <c r="G391" i="1" s="1"/>
  <c r="M390" i="1"/>
  <c r="I390" i="1"/>
  <c r="G390" i="1"/>
  <c r="L390" i="1" s="1"/>
  <c r="L389" i="1"/>
  <c r="I389" i="1"/>
  <c r="M389" i="1" s="1"/>
  <c r="G389" i="1"/>
  <c r="M388" i="1"/>
  <c r="I388" i="1"/>
  <c r="G388" i="1"/>
  <c r="L388" i="1" s="1"/>
  <c r="I387" i="1"/>
  <c r="E387" i="1"/>
  <c r="G387" i="1" s="1"/>
  <c r="M386" i="1"/>
  <c r="L386" i="1"/>
  <c r="I386" i="1"/>
  <c r="G386" i="1"/>
  <c r="I385" i="1"/>
  <c r="M385" i="1" s="1"/>
  <c r="E385" i="1"/>
  <c r="M384" i="1"/>
  <c r="L384" i="1"/>
  <c r="I384" i="1"/>
  <c r="G384" i="1"/>
  <c r="I383" i="1"/>
  <c r="M383" i="1" s="1"/>
  <c r="G383" i="1"/>
  <c r="L383" i="1" s="1"/>
  <c r="L382" i="1"/>
  <c r="I382" i="1"/>
  <c r="M382" i="1" s="1"/>
  <c r="G382" i="1"/>
  <c r="I381" i="1"/>
  <c r="M381" i="1" s="1"/>
  <c r="E381" i="1"/>
  <c r="G381" i="1" s="1"/>
  <c r="L380" i="1"/>
  <c r="I380" i="1"/>
  <c r="M380" i="1" s="1"/>
  <c r="G380" i="1"/>
  <c r="I379" i="1"/>
  <c r="E379" i="1"/>
  <c r="G379" i="1" s="1"/>
  <c r="M378" i="1"/>
  <c r="I378" i="1"/>
  <c r="G378" i="1"/>
  <c r="L378" i="1" s="1"/>
  <c r="I377" i="1"/>
  <c r="E377" i="1"/>
  <c r="I376" i="1"/>
  <c r="M376" i="1" s="1"/>
  <c r="E376" i="1"/>
  <c r="I375" i="1"/>
  <c r="E375" i="1"/>
  <c r="I374" i="1"/>
  <c r="E374" i="1"/>
  <c r="I373" i="1"/>
  <c r="E373" i="1"/>
  <c r="I372" i="1"/>
  <c r="E372" i="1"/>
  <c r="I371" i="1"/>
  <c r="E371" i="1"/>
  <c r="I370" i="1"/>
  <c r="E370" i="1"/>
  <c r="I369" i="1"/>
  <c r="M369" i="1" s="1"/>
  <c r="E369" i="1"/>
  <c r="I368" i="1"/>
  <c r="M368" i="1" s="1"/>
  <c r="E368" i="1"/>
  <c r="I367" i="1"/>
  <c r="E367" i="1"/>
  <c r="I366" i="1"/>
  <c r="E366" i="1"/>
  <c r="I365" i="1"/>
  <c r="M365" i="1" s="1"/>
  <c r="E365" i="1"/>
  <c r="M364" i="1"/>
  <c r="I364" i="1"/>
  <c r="E364" i="1"/>
  <c r="I363" i="1"/>
  <c r="M363" i="1" s="1"/>
  <c r="E363" i="1"/>
  <c r="I362" i="1"/>
  <c r="E362" i="1"/>
  <c r="I361" i="1"/>
  <c r="M361" i="1" s="1"/>
  <c r="E361" i="1"/>
  <c r="I360" i="1"/>
  <c r="M360" i="1" s="1"/>
  <c r="E360" i="1"/>
  <c r="I359" i="1"/>
  <c r="M359" i="1" s="1"/>
  <c r="E359" i="1"/>
  <c r="M358" i="1"/>
  <c r="I358" i="1"/>
  <c r="E358" i="1"/>
  <c r="I357" i="1"/>
  <c r="M357" i="1" s="1"/>
  <c r="G357" i="1"/>
  <c r="L357" i="1" s="1"/>
  <c r="I356" i="1"/>
  <c r="E356" i="1"/>
  <c r="I355" i="1"/>
  <c r="M355" i="1" s="1"/>
  <c r="E355" i="1"/>
  <c r="L354" i="1"/>
  <c r="I354" i="1"/>
  <c r="M354" i="1" s="1"/>
  <c r="M353" i="1"/>
  <c r="I353" i="1"/>
  <c r="E353" i="1"/>
  <c r="I352" i="1"/>
  <c r="M352" i="1" s="1"/>
  <c r="E352" i="1"/>
  <c r="I351" i="1"/>
  <c r="M351" i="1" s="1"/>
  <c r="E351" i="1"/>
  <c r="M350" i="1"/>
  <c r="I350" i="1"/>
  <c r="E350" i="1"/>
  <c r="I349" i="1"/>
  <c r="M349" i="1" s="1"/>
  <c r="E349" i="1"/>
  <c r="I348" i="1"/>
  <c r="M348" i="1" s="1"/>
  <c r="E348" i="1"/>
  <c r="I347" i="1"/>
  <c r="M347" i="1" s="1"/>
  <c r="E347" i="1"/>
  <c r="I346" i="1"/>
  <c r="M346" i="1" s="1"/>
  <c r="E346" i="1"/>
  <c r="I345" i="1"/>
  <c r="M345" i="1" s="1"/>
  <c r="E345" i="1"/>
  <c r="I344" i="1"/>
  <c r="M344" i="1" s="1"/>
  <c r="E344" i="1"/>
  <c r="I343" i="1"/>
  <c r="M343" i="1" s="1"/>
  <c r="E343" i="1"/>
  <c r="I342" i="1"/>
  <c r="E342" i="1"/>
  <c r="I341" i="1"/>
  <c r="M341" i="1" s="1"/>
  <c r="E341" i="1"/>
  <c r="M340" i="1"/>
  <c r="I340" i="1"/>
  <c r="E340" i="1"/>
  <c r="I339" i="1"/>
  <c r="E339" i="1"/>
  <c r="I338" i="1"/>
  <c r="M338" i="1" s="1"/>
  <c r="E338" i="1"/>
  <c r="I337" i="1"/>
  <c r="M337" i="1" s="1"/>
  <c r="E337" i="1"/>
  <c r="M336" i="1"/>
  <c r="I336" i="1"/>
  <c r="E336" i="1"/>
  <c r="I335" i="1"/>
  <c r="M335" i="1" s="1"/>
  <c r="E335" i="1"/>
  <c r="I334" i="1"/>
  <c r="M334" i="1" s="1"/>
  <c r="E334" i="1"/>
  <c r="I333" i="1"/>
  <c r="M333" i="1" s="1"/>
  <c r="E333" i="1"/>
  <c r="I332" i="1"/>
  <c r="M332" i="1" s="1"/>
  <c r="E332" i="1"/>
  <c r="M331" i="1"/>
  <c r="I331" i="1"/>
  <c r="E331" i="1"/>
  <c r="I330" i="1"/>
  <c r="E330" i="1"/>
  <c r="I329" i="1"/>
  <c r="M329" i="1" s="1"/>
  <c r="E329" i="1"/>
  <c r="I328" i="1"/>
  <c r="M328" i="1" s="1"/>
  <c r="E328" i="1"/>
  <c r="I327" i="1"/>
  <c r="M327" i="1" s="1"/>
  <c r="E327" i="1"/>
  <c r="I326" i="1"/>
  <c r="M326" i="1" s="1"/>
  <c r="E326" i="1"/>
  <c r="M325" i="1"/>
  <c r="I325" i="1"/>
  <c r="E325" i="1"/>
  <c r="I324" i="1"/>
  <c r="M324" i="1" s="1"/>
  <c r="E324" i="1"/>
  <c r="M323" i="1"/>
  <c r="L323" i="1"/>
  <c r="I323" i="1"/>
  <c r="G323" i="1"/>
  <c r="I322" i="1"/>
  <c r="M322" i="1" s="1"/>
  <c r="E322" i="1"/>
  <c r="M321" i="1"/>
  <c r="I321" i="1"/>
  <c r="E321" i="1"/>
  <c r="M320" i="1"/>
  <c r="I320" i="1"/>
  <c r="G320" i="1"/>
  <c r="L320" i="1" s="1"/>
  <c r="L319" i="1"/>
  <c r="I319" i="1"/>
  <c r="M319" i="1" s="1"/>
  <c r="G319" i="1"/>
  <c r="M318" i="1"/>
  <c r="I318" i="1"/>
  <c r="G318" i="1"/>
  <c r="L318" i="1" s="1"/>
  <c r="I317" i="1"/>
  <c r="M317" i="1" s="1"/>
  <c r="E317" i="1"/>
  <c r="M316" i="1"/>
  <c r="L316" i="1"/>
  <c r="I316" i="1"/>
  <c r="G316" i="1"/>
  <c r="I315" i="1"/>
  <c r="E315" i="1"/>
  <c r="I314" i="1"/>
  <c r="E314" i="1"/>
  <c r="M313" i="1"/>
  <c r="I313" i="1"/>
  <c r="E313" i="1"/>
  <c r="I312" i="1"/>
  <c r="M312" i="1" s="1"/>
  <c r="E312" i="1"/>
  <c r="M311" i="1"/>
  <c r="I311" i="1"/>
  <c r="E311" i="1"/>
  <c r="M310" i="1"/>
  <c r="I310" i="1"/>
  <c r="E310" i="1"/>
  <c r="I309" i="1"/>
  <c r="M309" i="1" s="1"/>
  <c r="E309" i="1"/>
  <c r="M308" i="1"/>
  <c r="I308" i="1"/>
  <c r="E308" i="1"/>
  <c r="I307" i="1"/>
  <c r="M307" i="1" s="1"/>
  <c r="E307" i="1"/>
  <c r="L306" i="1"/>
  <c r="I306" i="1"/>
  <c r="M306" i="1" s="1"/>
  <c r="M305" i="1"/>
  <c r="L305" i="1"/>
  <c r="I305" i="1"/>
  <c r="G305" i="1"/>
  <c r="I304" i="1"/>
  <c r="M304" i="1" s="1"/>
  <c r="G304" i="1"/>
  <c r="L304" i="1" s="1"/>
  <c r="M303" i="1"/>
  <c r="I303" i="1"/>
  <c r="E303" i="1"/>
  <c r="I302" i="1"/>
  <c r="M302" i="1" s="1"/>
  <c r="E302" i="1"/>
  <c r="I301" i="1"/>
  <c r="M301" i="1" s="1"/>
  <c r="E301" i="1"/>
  <c r="M300" i="1"/>
  <c r="I300" i="1"/>
  <c r="G300" i="1"/>
  <c r="L300" i="1" s="1"/>
  <c r="I299" i="1"/>
  <c r="M299" i="1" s="1"/>
  <c r="G299" i="1"/>
  <c r="L299" i="1" s="1"/>
  <c r="M298" i="1"/>
  <c r="I298" i="1"/>
  <c r="E298" i="1"/>
  <c r="I297" i="1"/>
  <c r="M297" i="1" s="1"/>
  <c r="E297" i="1"/>
  <c r="M296" i="1"/>
  <c r="I296" i="1"/>
  <c r="E296" i="1"/>
  <c r="I295" i="1"/>
  <c r="M295" i="1" s="1"/>
  <c r="E295" i="1"/>
  <c r="I294" i="1"/>
  <c r="M294" i="1" s="1"/>
  <c r="E294" i="1"/>
  <c r="I293" i="1"/>
  <c r="M293" i="1" s="1"/>
  <c r="E293" i="1"/>
  <c r="I292" i="1"/>
  <c r="M292" i="1" s="1"/>
  <c r="E292" i="1"/>
  <c r="I291" i="1"/>
  <c r="M291" i="1" s="1"/>
  <c r="E291" i="1"/>
  <c r="M290" i="1"/>
  <c r="I290" i="1"/>
  <c r="E290" i="1"/>
  <c r="I289" i="1"/>
  <c r="M289" i="1" s="1"/>
  <c r="E289" i="1"/>
  <c r="I288" i="1"/>
  <c r="M288" i="1" s="1"/>
  <c r="E288" i="1"/>
  <c r="I287" i="1"/>
  <c r="M287" i="1" s="1"/>
  <c r="E287" i="1"/>
  <c r="I286" i="1"/>
  <c r="M286" i="1" s="1"/>
  <c r="E286" i="1"/>
  <c r="M285" i="1"/>
  <c r="I285" i="1"/>
  <c r="E285" i="1"/>
  <c r="I284" i="1"/>
  <c r="M284" i="1" s="1"/>
  <c r="E284" i="1"/>
  <c r="M283" i="1"/>
  <c r="I283" i="1"/>
  <c r="E283" i="1"/>
  <c r="M282" i="1"/>
  <c r="I282" i="1"/>
  <c r="E282" i="1"/>
  <c r="I281" i="1"/>
  <c r="M281" i="1" s="1"/>
  <c r="E281" i="1"/>
  <c r="M280" i="1"/>
  <c r="I280" i="1"/>
  <c r="E280" i="1"/>
  <c r="M279" i="1"/>
  <c r="I279" i="1"/>
  <c r="E279" i="1"/>
  <c r="I278" i="1"/>
  <c r="M278" i="1" s="1"/>
  <c r="E278" i="1"/>
  <c r="I277" i="1"/>
  <c r="E277" i="1"/>
  <c r="I276" i="1"/>
  <c r="E276" i="1"/>
  <c r="I275" i="1"/>
  <c r="M275" i="1" s="1"/>
  <c r="E275" i="1"/>
  <c r="I274" i="1"/>
  <c r="M274" i="1" s="1"/>
  <c r="E274" i="1"/>
  <c r="M273" i="1"/>
  <c r="I273" i="1"/>
  <c r="E273" i="1"/>
  <c r="I272" i="1"/>
  <c r="M272" i="1" s="1"/>
  <c r="E272" i="1"/>
  <c r="I271" i="1"/>
  <c r="M271" i="1" s="1"/>
  <c r="E271" i="1"/>
  <c r="I270" i="1"/>
  <c r="M270" i="1" s="1"/>
  <c r="E270" i="1"/>
  <c r="M269" i="1"/>
  <c r="I269" i="1"/>
  <c r="E269" i="1"/>
  <c r="M268" i="1"/>
  <c r="I268" i="1"/>
  <c r="E268" i="1"/>
  <c r="I267" i="1"/>
  <c r="M267" i="1" s="1"/>
  <c r="G267" i="1"/>
  <c r="L267" i="1" s="1"/>
  <c r="M266" i="1"/>
  <c r="I266" i="1"/>
  <c r="E266" i="1"/>
  <c r="I265" i="1"/>
  <c r="M265" i="1" s="1"/>
  <c r="G265" i="1"/>
  <c r="L265" i="1" s="1"/>
  <c r="M264" i="1"/>
  <c r="I264" i="1"/>
  <c r="E264" i="1"/>
  <c r="M263" i="1"/>
  <c r="I263" i="1"/>
  <c r="E263" i="1"/>
  <c r="I262" i="1"/>
  <c r="M262" i="1" s="1"/>
  <c r="E262" i="1"/>
  <c r="M261" i="1"/>
  <c r="I261" i="1"/>
  <c r="E261" i="1"/>
  <c r="I260" i="1"/>
  <c r="M260" i="1" s="1"/>
  <c r="E260" i="1"/>
  <c r="M259" i="1"/>
  <c r="I259" i="1"/>
  <c r="E259" i="1"/>
  <c r="M258" i="1"/>
  <c r="I258" i="1"/>
  <c r="E258" i="1"/>
  <c r="I257" i="1"/>
  <c r="M257" i="1" s="1"/>
  <c r="E257" i="1"/>
  <c r="M256" i="1"/>
  <c r="I256" i="1"/>
  <c r="E256" i="1"/>
  <c r="M255" i="1"/>
  <c r="I255" i="1"/>
  <c r="E255" i="1"/>
  <c r="I254" i="1"/>
  <c r="M254" i="1" s="1"/>
  <c r="E254" i="1"/>
  <c r="M253" i="1"/>
  <c r="I253" i="1"/>
  <c r="E253" i="1"/>
  <c r="I252" i="1"/>
  <c r="M252" i="1" s="1"/>
  <c r="E252" i="1"/>
  <c r="I251" i="1"/>
  <c r="M251" i="1" s="1"/>
  <c r="E251" i="1"/>
  <c r="M250" i="1"/>
  <c r="I250" i="1"/>
  <c r="E250" i="1"/>
  <c r="I249" i="1"/>
  <c r="M249" i="1" s="1"/>
  <c r="E249" i="1"/>
  <c r="I248" i="1"/>
  <c r="M248" i="1" s="1"/>
  <c r="E248" i="1"/>
  <c r="I247" i="1"/>
  <c r="E247" i="1"/>
  <c r="I246" i="1"/>
  <c r="M246" i="1" s="1"/>
  <c r="E246" i="1"/>
  <c r="I245" i="1"/>
  <c r="M245" i="1" s="1"/>
  <c r="E245" i="1"/>
  <c r="M244" i="1"/>
  <c r="I244" i="1"/>
  <c r="E244" i="1"/>
  <c r="I243" i="1"/>
  <c r="M243" i="1" s="1"/>
  <c r="E243" i="1"/>
  <c r="I242" i="1"/>
  <c r="M242" i="1" s="1"/>
  <c r="E242" i="1"/>
  <c r="I241" i="1"/>
  <c r="M241" i="1" s="1"/>
  <c r="E241" i="1"/>
  <c r="I240" i="1"/>
  <c r="E240" i="1"/>
  <c r="M239" i="1"/>
  <c r="I239" i="1"/>
  <c r="E239" i="1"/>
  <c r="I238" i="1"/>
  <c r="M238" i="1" s="1"/>
  <c r="E238" i="1"/>
  <c r="M237" i="1"/>
  <c r="I237" i="1"/>
  <c r="E237" i="1"/>
  <c r="M236" i="1"/>
  <c r="I236" i="1"/>
  <c r="E236" i="1"/>
  <c r="I235" i="1"/>
  <c r="M235" i="1" s="1"/>
  <c r="E235" i="1"/>
  <c r="I234" i="1"/>
  <c r="E234" i="1"/>
  <c r="M233" i="1"/>
  <c r="I233" i="1"/>
  <c r="E233" i="1"/>
  <c r="I232" i="1"/>
  <c r="M232" i="1" s="1"/>
  <c r="E232" i="1"/>
  <c r="I231" i="1"/>
  <c r="M231" i="1" s="1"/>
  <c r="E231" i="1"/>
  <c r="M230" i="1"/>
  <c r="I230" i="1"/>
  <c r="E230" i="1"/>
  <c r="I229" i="1"/>
  <c r="M229" i="1" s="1"/>
  <c r="E229" i="1"/>
  <c r="I228" i="1"/>
  <c r="E228" i="1"/>
  <c r="I227" i="1"/>
  <c r="E227" i="1"/>
  <c r="I226" i="1"/>
  <c r="M226" i="1" s="1"/>
  <c r="E226" i="1"/>
  <c r="I225" i="1"/>
  <c r="E225" i="1"/>
  <c r="M224" i="1"/>
  <c r="I224" i="1"/>
  <c r="E224" i="1"/>
  <c r="I223" i="1"/>
  <c r="M223" i="1" s="1"/>
  <c r="E223" i="1"/>
  <c r="I222" i="1"/>
  <c r="E222" i="1"/>
  <c r="M221" i="1"/>
  <c r="I221" i="1"/>
  <c r="E221" i="1"/>
  <c r="I220" i="1"/>
  <c r="E220" i="1"/>
  <c r="M219" i="1"/>
  <c r="I219" i="1"/>
  <c r="E219" i="1"/>
  <c r="I218" i="1"/>
  <c r="E218" i="1"/>
  <c r="I217" i="1"/>
  <c r="E217" i="1"/>
  <c r="I216" i="1"/>
  <c r="E216" i="1"/>
  <c r="I215" i="1"/>
  <c r="E215" i="1"/>
  <c r="I214" i="1"/>
  <c r="E214" i="1"/>
  <c r="I213" i="1"/>
  <c r="E213" i="1"/>
  <c r="I212" i="1"/>
  <c r="E212" i="1"/>
  <c r="I211" i="1"/>
  <c r="M211" i="1" s="1"/>
  <c r="E211" i="1"/>
  <c r="M210" i="1"/>
  <c r="I210" i="1"/>
  <c r="E210" i="1"/>
  <c r="I209" i="1"/>
  <c r="E209" i="1"/>
  <c r="I208" i="1"/>
  <c r="E208" i="1"/>
  <c r="M207" i="1"/>
  <c r="I207" i="1"/>
  <c r="E207" i="1"/>
  <c r="I206" i="1"/>
  <c r="M206" i="1" s="1"/>
  <c r="E206" i="1"/>
  <c r="M205" i="1"/>
  <c r="I205" i="1"/>
  <c r="E205" i="1"/>
  <c r="M204" i="1"/>
  <c r="I204" i="1"/>
  <c r="E204" i="1"/>
  <c r="I203" i="1"/>
  <c r="M203" i="1" s="1"/>
  <c r="E203" i="1"/>
  <c r="M202" i="1"/>
  <c r="I202" i="1"/>
  <c r="E202" i="1"/>
  <c r="I201" i="1"/>
  <c r="E201" i="1"/>
  <c r="I200" i="1"/>
  <c r="E200" i="1"/>
  <c r="I199" i="1"/>
  <c r="M199" i="1" s="1"/>
  <c r="E199" i="1"/>
  <c r="M198" i="1"/>
  <c r="I198" i="1"/>
  <c r="E198" i="1"/>
  <c r="I197" i="1"/>
  <c r="M197" i="1" s="1"/>
  <c r="E197" i="1"/>
  <c r="I196" i="1"/>
  <c r="E196" i="1"/>
  <c r="M195" i="1"/>
  <c r="I195" i="1"/>
  <c r="E195" i="1"/>
  <c r="I194" i="1"/>
  <c r="M194" i="1" s="1"/>
  <c r="E194" i="1"/>
  <c r="I193" i="1"/>
  <c r="E193" i="1"/>
  <c r="M192" i="1"/>
  <c r="I192" i="1"/>
  <c r="E192" i="1"/>
  <c r="I191" i="1"/>
  <c r="M191" i="1" s="1"/>
  <c r="E191" i="1"/>
  <c r="M190" i="1"/>
  <c r="I190" i="1"/>
  <c r="E190" i="1"/>
  <c r="I189" i="1"/>
  <c r="M189" i="1" s="1"/>
  <c r="E189" i="1"/>
  <c r="I188" i="1"/>
  <c r="M188" i="1" s="1"/>
  <c r="E188" i="1"/>
  <c r="M187" i="1"/>
  <c r="I187" i="1"/>
  <c r="E187" i="1"/>
  <c r="I186" i="1"/>
  <c r="M186" i="1" s="1"/>
  <c r="E186" i="1"/>
  <c r="I185" i="1"/>
  <c r="E185" i="1"/>
  <c r="M184" i="1"/>
  <c r="I184" i="1"/>
  <c r="E184" i="1"/>
  <c r="I183" i="1"/>
  <c r="E183" i="1"/>
  <c r="I182" i="1"/>
  <c r="M182" i="1" s="1"/>
  <c r="E182" i="1"/>
  <c r="M181" i="1"/>
  <c r="I181" i="1"/>
  <c r="E181" i="1"/>
  <c r="I180" i="1"/>
  <c r="M180" i="1" s="1"/>
  <c r="E180" i="1"/>
  <c r="I179" i="1"/>
  <c r="M179" i="1" s="1"/>
  <c r="E179" i="1"/>
  <c r="M178" i="1"/>
  <c r="I178" i="1"/>
  <c r="E178" i="1"/>
  <c r="I177" i="1"/>
  <c r="E177" i="1"/>
  <c r="L176" i="1"/>
  <c r="I176" i="1"/>
  <c r="M176" i="1" s="1"/>
  <c r="G176" i="1"/>
  <c r="I175" i="1"/>
  <c r="M175" i="1" s="1"/>
  <c r="E175" i="1"/>
  <c r="I174" i="1"/>
  <c r="M174" i="1" s="1"/>
  <c r="E174" i="1"/>
  <c r="I173" i="1"/>
  <c r="E173" i="1"/>
  <c r="I172" i="1"/>
  <c r="M172" i="1" s="1"/>
  <c r="E172" i="1"/>
  <c r="I171" i="1"/>
  <c r="M171" i="1" s="1"/>
  <c r="E171" i="1"/>
  <c r="M170" i="1"/>
  <c r="I170" i="1"/>
  <c r="E170" i="1"/>
  <c r="I169" i="1"/>
  <c r="M169" i="1" s="1"/>
  <c r="G169" i="1"/>
  <c r="L169" i="1" s="1"/>
  <c r="M168" i="1"/>
  <c r="L168" i="1"/>
  <c r="I168" i="1"/>
  <c r="I167" i="1"/>
  <c r="M167" i="1" s="1"/>
  <c r="E167" i="1"/>
  <c r="M166" i="1"/>
  <c r="I166" i="1"/>
  <c r="E166" i="1"/>
  <c r="M165" i="1"/>
  <c r="I165" i="1"/>
  <c r="E165" i="1"/>
  <c r="I164" i="1"/>
  <c r="M164" i="1" s="1"/>
  <c r="E164" i="1"/>
  <c r="M163" i="1"/>
  <c r="L163" i="1"/>
  <c r="I163" i="1"/>
  <c r="G163" i="1"/>
  <c r="I162" i="1"/>
  <c r="M162" i="1" s="1"/>
  <c r="E162" i="1"/>
  <c r="I161" i="1"/>
  <c r="E161" i="1"/>
  <c r="M160" i="1"/>
  <c r="L160" i="1"/>
  <c r="I160" i="1"/>
  <c r="G160" i="1"/>
  <c r="I159" i="1"/>
  <c r="M159" i="1" s="1"/>
  <c r="E159" i="1"/>
  <c r="I158" i="1"/>
  <c r="M158" i="1" s="1"/>
  <c r="E158" i="1"/>
  <c r="I157" i="1"/>
  <c r="M157" i="1" s="1"/>
  <c r="E157" i="1"/>
  <c r="I156" i="1"/>
  <c r="M156" i="1" s="1"/>
  <c r="E156" i="1"/>
  <c r="M155" i="1"/>
  <c r="I155" i="1"/>
  <c r="E155" i="1"/>
  <c r="M154" i="1"/>
  <c r="I154" i="1"/>
  <c r="E154" i="1"/>
  <c r="L153" i="1"/>
  <c r="I153" i="1"/>
  <c r="M153" i="1" s="1"/>
  <c r="M152" i="1"/>
  <c r="I152" i="1"/>
  <c r="E152" i="1"/>
  <c r="I151" i="1"/>
  <c r="M151" i="1" s="1"/>
  <c r="G151" i="1"/>
  <c r="L151" i="1" s="1"/>
  <c r="I150" i="1"/>
  <c r="M150" i="1" s="1"/>
  <c r="E150" i="1"/>
  <c r="M149" i="1"/>
  <c r="I149" i="1"/>
  <c r="E149" i="1"/>
  <c r="M148" i="1"/>
  <c r="I148" i="1"/>
  <c r="E148" i="1"/>
  <c r="M147" i="1"/>
  <c r="I147" i="1"/>
  <c r="G147" i="1"/>
  <c r="L147" i="1" s="1"/>
  <c r="L146" i="1"/>
  <c r="I146" i="1"/>
  <c r="M146" i="1" s="1"/>
  <c r="G146" i="1"/>
  <c r="M145" i="1"/>
  <c r="I145" i="1"/>
  <c r="E145" i="1"/>
  <c r="I144" i="1"/>
  <c r="M144" i="1" s="1"/>
  <c r="G144" i="1"/>
  <c r="L144" i="1" s="1"/>
  <c r="I143" i="1"/>
  <c r="M143" i="1" s="1"/>
  <c r="E143" i="1"/>
  <c r="M142" i="1"/>
  <c r="I142" i="1"/>
  <c r="E142" i="1"/>
  <c r="M141" i="1"/>
  <c r="I141" i="1"/>
  <c r="E141" i="1"/>
  <c r="M140" i="1"/>
  <c r="I140" i="1"/>
  <c r="E140" i="1"/>
  <c r="I139" i="1"/>
  <c r="E139" i="1"/>
  <c r="M138" i="1"/>
  <c r="I138" i="1"/>
  <c r="E138" i="1"/>
  <c r="I137" i="1"/>
  <c r="E137" i="1"/>
  <c r="M136" i="1"/>
  <c r="I136" i="1"/>
  <c r="E136" i="1"/>
  <c r="M135" i="1"/>
  <c r="I135" i="1"/>
  <c r="E135" i="1"/>
  <c r="M134" i="1"/>
  <c r="I134" i="1"/>
  <c r="E134" i="1"/>
  <c r="I133" i="1"/>
  <c r="M133" i="1" s="1"/>
  <c r="G133" i="1"/>
  <c r="L133" i="1" s="1"/>
  <c r="M132" i="1"/>
  <c r="I132" i="1"/>
  <c r="E132" i="1"/>
  <c r="M131" i="1"/>
  <c r="I131" i="1"/>
  <c r="E131" i="1"/>
  <c r="I130" i="1"/>
  <c r="M130" i="1" s="1"/>
  <c r="E130" i="1"/>
  <c r="M129" i="1"/>
  <c r="I129" i="1"/>
  <c r="E129" i="1"/>
  <c r="I128" i="1"/>
  <c r="M128" i="1" s="1"/>
  <c r="E128" i="1"/>
  <c r="I127" i="1"/>
  <c r="E127" i="1"/>
  <c r="M126" i="1"/>
  <c r="I126" i="1"/>
  <c r="G126" i="1"/>
  <c r="L126" i="1" s="1"/>
  <c r="L125" i="1"/>
  <c r="I125" i="1"/>
  <c r="M125" i="1" s="1"/>
  <c r="G125" i="1"/>
  <c r="M124" i="1"/>
  <c r="I124" i="1"/>
  <c r="E124" i="1"/>
  <c r="I123" i="1"/>
  <c r="M123" i="1" s="1"/>
  <c r="E123" i="1"/>
  <c r="M122" i="1"/>
  <c r="I122" i="1"/>
  <c r="E122" i="1"/>
  <c r="I121" i="1"/>
  <c r="M121" i="1" s="1"/>
  <c r="G121" i="1"/>
  <c r="L121" i="1" s="1"/>
  <c r="I120" i="1"/>
  <c r="M120" i="1" s="1"/>
  <c r="G120" i="1"/>
  <c r="L120" i="1" s="1"/>
  <c r="I119" i="1"/>
  <c r="M119" i="1" s="1"/>
  <c r="E119" i="1"/>
  <c r="I118" i="1"/>
  <c r="E118" i="1"/>
  <c r="L117" i="1"/>
  <c r="I117" i="1"/>
  <c r="M117" i="1" s="1"/>
  <c r="G117" i="1"/>
  <c r="M116" i="1"/>
  <c r="I116" i="1"/>
  <c r="E116" i="1"/>
  <c r="I115" i="1"/>
  <c r="M115" i="1" s="1"/>
  <c r="E115" i="1"/>
  <c r="M114" i="1"/>
  <c r="L114" i="1"/>
  <c r="I114" i="1"/>
  <c r="I113" i="1"/>
  <c r="M113" i="1" s="1"/>
  <c r="E113" i="1"/>
  <c r="L112" i="1"/>
  <c r="I112" i="1"/>
  <c r="M112" i="1" s="1"/>
  <c r="G112" i="1"/>
  <c r="M111" i="1"/>
  <c r="I111" i="1"/>
  <c r="E111" i="1"/>
  <c r="I110" i="1"/>
  <c r="M110" i="1" s="1"/>
  <c r="E110" i="1"/>
  <c r="M109" i="1"/>
  <c r="I109" i="1"/>
  <c r="G109" i="1"/>
  <c r="L109" i="1" s="1"/>
  <c r="I108" i="1"/>
  <c r="M108" i="1" s="1"/>
  <c r="E108" i="1"/>
  <c r="I107" i="1"/>
  <c r="M107" i="1" s="1"/>
  <c r="E107" i="1"/>
  <c r="M106" i="1"/>
  <c r="I106" i="1"/>
  <c r="E106" i="1"/>
  <c r="M105" i="1"/>
  <c r="I105" i="1"/>
  <c r="E105" i="1"/>
  <c r="M104" i="1"/>
  <c r="I104" i="1"/>
  <c r="E104" i="1"/>
  <c r="I103" i="1"/>
  <c r="M103" i="1" s="1"/>
  <c r="G103" i="1"/>
  <c r="L103" i="1" s="1"/>
  <c r="M102" i="1"/>
  <c r="I102" i="1"/>
  <c r="E102" i="1"/>
  <c r="I101" i="1"/>
  <c r="M101" i="1" s="1"/>
  <c r="G101" i="1"/>
  <c r="L101" i="1" s="1"/>
  <c r="I100" i="1"/>
  <c r="M100" i="1" s="1"/>
  <c r="E100" i="1"/>
  <c r="I99" i="1"/>
  <c r="M99" i="1" s="1"/>
  <c r="G99" i="1"/>
  <c r="L99" i="1" s="1"/>
  <c r="I98" i="1"/>
  <c r="M98" i="1" s="1"/>
  <c r="E98" i="1"/>
  <c r="I97" i="1"/>
  <c r="E97" i="1"/>
  <c r="I96" i="1"/>
  <c r="E96" i="1"/>
  <c r="I95" i="1"/>
  <c r="M95" i="1" s="1"/>
  <c r="E95" i="1"/>
  <c r="I94" i="1"/>
  <c r="M94" i="1" s="1"/>
  <c r="E94" i="1"/>
  <c r="M93" i="1"/>
  <c r="I93" i="1"/>
  <c r="E93" i="1"/>
  <c r="I92" i="1"/>
  <c r="E92" i="1"/>
  <c r="G92" i="1" s="1"/>
  <c r="M91" i="1"/>
  <c r="I91" i="1"/>
  <c r="G91" i="1"/>
  <c r="L91" i="1" s="1"/>
  <c r="L90" i="1"/>
  <c r="I90" i="1"/>
  <c r="M90" i="1" s="1"/>
  <c r="G90" i="1"/>
  <c r="I89" i="1"/>
  <c r="E89" i="1"/>
  <c r="I88" i="1"/>
  <c r="M88" i="1" s="1"/>
  <c r="E88" i="1"/>
  <c r="I87" i="1"/>
  <c r="M87" i="1" s="1"/>
  <c r="E87" i="1"/>
  <c r="M86" i="1"/>
  <c r="I86" i="1"/>
  <c r="E86" i="1"/>
  <c r="I85" i="1"/>
  <c r="M85" i="1" s="1"/>
  <c r="G85" i="1"/>
  <c r="L85" i="1" s="1"/>
  <c r="M84" i="1"/>
  <c r="I84" i="1"/>
  <c r="E84" i="1"/>
  <c r="I83" i="1"/>
  <c r="M83" i="1" s="1"/>
  <c r="E83" i="1"/>
  <c r="I82" i="1"/>
  <c r="E82" i="1"/>
  <c r="I81" i="1"/>
  <c r="E81" i="1"/>
  <c r="I80" i="1"/>
  <c r="M80" i="1" s="1"/>
  <c r="E80" i="1"/>
  <c r="I79" i="1"/>
  <c r="M79" i="1" s="1"/>
  <c r="G79" i="1"/>
  <c r="L79" i="1" s="1"/>
  <c r="M78" i="1"/>
  <c r="I78" i="1"/>
  <c r="G78" i="1"/>
  <c r="L78" i="1" s="1"/>
  <c r="I77" i="1"/>
  <c r="M77" i="1" s="1"/>
  <c r="E77" i="1"/>
  <c r="I76" i="1"/>
  <c r="M76" i="1" s="1"/>
  <c r="E76" i="1"/>
  <c r="I75" i="1"/>
  <c r="M75" i="1" s="1"/>
  <c r="E75" i="1"/>
  <c r="M74" i="1"/>
  <c r="I74" i="1"/>
  <c r="E74" i="1"/>
  <c r="I73" i="1"/>
  <c r="E73" i="1"/>
  <c r="I72" i="1"/>
  <c r="E72" i="1"/>
  <c r="I71" i="1"/>
  <c r="E71" i="1"/>
  <c r="I70" i="1"/>
  <c r="E70" i="1"/>
  <c r="I69" i="1"/>
  <c r="E69" i="1"/>
  <c r="I68" i="1"/>
  <c r="E68" i="1"/>
  <c r="I67" i="1"/>
  <c r="M67" i="1" s="1"/>
  <c r="E67" i="1"/>
  <c r="M66" i="1"/>
  <c r="I66" i="1"/>
  <c r="E66" i="1"/>
  <c r="I65" i="1"/>
  <c r="M65" i="1" s="1"/>
  <c r="E65" i="1"/>
  <c r="I64" i="1"/>
  <c r="M64" i="1" s="1"/>
  <c r="E64" i="1"/>
  <c r="I63" i="1"/>
  <c r="E63" i="1"/>
  <c r="I62" i="1"/>
  <c r="M62" i="1" s="1"/>
  <c r="G62" i="1"/>
  <c r="L62" i="1" s="1"/>
  <c r="M61" i="1"/>
  <c r="I61" i="1"/>
  <c r="E61" i="1"/>
  <c r="I60" i="1"/>
  <c r="E60" i="1"/>
  <c r="I59" i="1"/>
  <c r="E59" i="1"/>
  <c r="I58" i="1"/>
  <c r="M58" i="1" s="1"/>
  <c r="G58" i="1"/>
  <c r="L58" i="1" s="1"/>
  <c r="I57" i="1"/>
  <c r="M57" i="1" s="1"/>
  <c r="E57" i="1"/>
  <c r="I56" i="1"/>
  <c r="E56" i="1"/>
  <c r="G56" i="1" s="1"/>
  <c r="I55" i="1"/>
  <c r="G55" i="1"/>
  <c r="E55" i="1"/>
  <c r="I54" i="1"/>
  <c r="E54" i="1"/>
  <c r="G54" i="1" s="1"/>
  <c r="I53" i="1"/>
  <c r="M53" i="1" s="1"/>
  <c r="G53" i="1"/>
  <c r="L53" i="1" s="1"/>
  <c r="I52" i="1"/>
  <c r="M52" i="1" s="1"/>
  <c r="G52" i="1"/>
  <c r="L52" i="1" s="1"/>
  <c r="M51" i="1"/>
  <c r="L51" i="1"/>
  <c r="I51" i="1"/>
  <c r="G51" i="1"/>
  <c r="I50" i="1"/>
  <c r="M50" i="1" s="1"/>
  <c r="E50" i="1"/>
  <c r="I49" i="1"/>
  <c r="M49" i="1" s="1"/>
  <c r="E49" i="1"/>
  <c r="M48" i="1"/>
  <c r="I48" i="1"/>
  <c r="E48" i="1"/>
  <c r="I47" i="1"/>
  <c r="M47" i="1" s="1"/>
  <c r="E47" i="1"/>
  <c r="M46" i="1"/>
  <c r="I46" i="1"/>
  <c r="E46" i="1"/>
  <c r="M45" i="1"/>
  <c r="I45" i="1"/>
  <c r="E45" i="1"/>
  <c r="I44" i="1"/>
  <c r="M44" i="1" s="1"/>
  <c r="E44" i="1"/>
  <c r="M43" i="1"/>
  <c r="I43" i="1"/>
  <c r="E43" i="1"/>
  <c r="I42" i="1"/>
  <c r="M42" i="1" s="1"/>
  <c r="E42" i="1"/>
  <c r="I41" i="1"/>
  <c r="M41" i="1" s="1"/>
  <c r="E41" i="1"/>
  <c r="I40" i="1"/>
  <c r="M40" i="1" s="1"/>
  <c r="E40" i="1"/>
  <c r="I39" i="1"/>
  <c r="M39" i="1" s="1"/>
  <c r="E39" i="1"/>
  <c r="M38" i="1"/>
  <c r="I38" i="1"/>
  <c r="E38" i="1"/>
  <c r="M37" i="1"/>
  <c r="I37" i="1"/>
  <c r="E37" i="1"/>
  <c r="I36" i="1"/>
  <c r="M36" i="1" s="1"/>
  <c r="E36" i="1"/>
  <c r="M35" i="1"/>
  <c r="I35" i="1"/>
  <c r="E35" i="1"/>
  <c r="I34" i="1"/>
  <c r="M34" i="1" s="1"/>
  <c r="E34" i="1"/>
  <c r="I33" i="1"/>
  <c r="M33" i="1" s="1"/>
  <c r="E33" i="1"/>
  <c r="M32" i="1"/>
  <c r="E32" i="1"/>
  <c r="I31" i="1"/>
  <c r="M31" i="1" s="1"/>
  <c r="E31" i="1"/>
  <c r="I30" i="1"/>
  <c r="M30" i="1" s="1"/>
  <c r="E30" i="1"/>
  <c r="M29" i="1"/>
  <c r="L29" i="1"/>
  <c r="I29" i="1"/>
  <c r="G29" i="1"/>
  <c r="I28" i="1"/>
  <c r="M28" i="1" s="1"/>
  <c r="E28" i="1"/>
  <c r="I27" i="1"/>
  <c r="M27" i="1" s="1"/>
  <c r="E27" i="1"/>
  <c r="I26" i="1"/>
  <c r="M26" i="1" s="1"/>
  <c r="E26" i="1"/>
  <c r="I25" i="1"/>
  <c r="M25" i="1" s="1"/>
  <c r="E25" i="1"/>
  <c r="I24" i="1"/>
  <c r="M24" i="1" s="1"/>
  <c r="E24" i="1"/>
  <c r="I23" i="1"/>
  <c r="M23" i="1" s="1"/>
  <c r="E23" i="1"/>
  <c r="M22" i="1"/>
  <c r="I22" i="1"/>
  <c r="E22" i="1"/>
  <c r="M21" i="1"/>
  <c r="I21" i="1"/>
  <c r="E21" i="1"/>
  <c r="I20" i="1"/>
  <c r="M20" i="1" s="1"/>
  <c r="G20" i="1"/>
  <c r="L20" i="1" s="1"/>
  <c r="M19" i="1"/>
  <c r="L19" i="1"/>
  <c r="I19" i="1"/>
  <c r="G19" i="1"/>
  <c r="I18" i="1"/>
  <c r="M18" i="1" s="1"/>
  <c r="G18" i="1"/>
  <c r="L18" i="1" s="1"/>
  <c r="M17" i="1"/>
  <c r="E17" i="1"/>
  <c r="I16" i="1"/>
  <c r="M16" i="1" s="1"/>
  <c r="E16" i="1"/>
  <c r="M15" i="1"/>
  <c r="I15" i="1"/>
  <c r="E15" i="1"/>
  <c r="M14" i="1"/>
  <c r="I14" i="1"/>
  <c r="E14" i="1"/>
  <c r="M13" i="1"/>
  <c r="E13" i="1"/>
  <c r="I12" i="1"/>
  <c r="M12" i="1" s="1"/>
  <c r="E12" i="1"/>
  <c r="M11" i="1"/>
  <c r="E11" i="1"/>
  <c r="I10" i="1"/>
  <c r="M10" i="1" s="1"/>
  <c r="E10" i="1"/>
  <c r="M9" i="1"/>
  <c r="I9" i="1"/>
  <c r="E9" i="1"/>
  <c r="I8" i="1"/>
  <c r="M8" i="1" s="1"/>
  <c r="E8" i="1"/>
  <c r="I7" i="1"/>
  <c r="M7" i="1" s="1"/>
  <c r="E7" i="1"/>
  <c r="M6" i="1"/>
  <c r="I6" i="1"/>
  <c r="E6" i="1"/>
  <c r="M5" i="1"/>
  <c r="I5" i="1"/>
  <c r="E5" i="1"/>
  <c r="I4" i="1"/>
  <c r="M4" i="1" s="1"/>
  <c r="E4" i="1"/>
  <c r="M3" i="1"/>
  <c r="I3" i="1"/>
  <c r="I487" i="1" s="1"/>
  <c r="E3" i="1"/>
  <c r="I2" i="1"/>
  <c r="M2" i="1" s="1"/>
  <c r="E2" i="1"/>
  <c r="M487" i="1" l="1"/>
  <c r="L487" i="1"/>
  <c r="L490" i="1" s="1"/>
  <c r="G487" i="1"/>
</calcChain>
</file>

<file path=xl/sharedStrings.xml><?xml version="1.0" encoding="utf-8"?>
<sst xmlns="http://schemas.openxmlformats.org/spreadsheetml/2006/main" count="5545" uniqueCount="1009">
  <si>
    <t>S.No.</t>
  </si>
  <si>
    <t>Tower Name</t>
  </si>
  <si>
    <t>Floor Name</t>
  </si>
  <si>
    <t>Flat No.</t>
  </si>
  <si>
    <t>Meter Reading 30-04-2026</t>
  </si>
  <si>
    <t>Meter Reading 31-05-2026</t>
  </si>
  <si>
    <t>DIFFERENCE APR-MAY</t>
  </si>
  <si>
    <t>Meter Reading 30-06-2026</t>
  </si>
  <si>
    <t>Difference MAY-JUNE</t>
  </si>
  <si>
    <t>MAY</t>
  </si>
  <si>
    <t>JUNE</t>
  </si>
  <si>
    <t>AMOUNT MAY BILL</t>
  </si>
  <si>
    <t>AMOUNT JUNE BILL</t>
  </si>
  <si>
    <t>Date of Reading</t>
  </si>
  <si>
    <t>Electricity Load KW</t>
  </si>
  <si>
    <t xml:space="preserve">Power Backup Fixed Charge </t>
  </si>
  <si>
    <t>Rate of Electricity Per Unit</t>
  </si>
  <si>
    <t>Customer Name</t>
  </si>
  <si>
    <t>Unit Area</t>
  </si>
  <si>
    <t>Unit type</t>
  </si>
  <si>
    <t>A</t>
  </si>
  <si>
    <t>First</t>
  </si>
  <si>
    <t>A-101</t>
  </si>
  <si>
    <t>DUE</t>
  </si>
  <si>
    <t>30-06-2026</t>
  </si>
  <si>
    <t>Mr. Bachoo Singh Bhagaur</t>
  </si>
  <si>
    <t>2 BHK+2T+Study (1150 Sq.Ft.)</t>
  </si>
  <si>
    <t>A-102</t>
  </si>
  <si>
    <t>Mrs. Neha Rajoria</t>
  </si>
  <si>
    <t>A-103</t>
  </si>
  <si>
    <t>Mr. Deepak Verma</t>
  </si>
  <si>
    <t>A-104</t>
  </si>
  <si>
    <t>Mr. Gaurav Chaudhary</t>
  </si>
  <si>
    <t>Second</t>
  </si>
  <si>
    <t>A-201</t>
  </si>
  <si>
    <t>Mrs. Mira Singh</t>
  </si>
  <si>
    <t>A-202</t>
  </si>
  <si>
    <t>Mrs. Priyanka Srivastava</t>
  </si>
  <si>
    <t>A-203</t>
  </si>
  <si>
    <t>Mr. Shiv Raman Singh</t>
  </si>
  <si>
    <t>A-204</t>
  </si>
  <si>
    <t>Mr. Amarkant jha</t>
  </si>
  <si>
    <t>Third</t>
  </si>
  <si>
    <t>A-301</t>
  </si>
  <si>
    <t>Mr. Devender Kashyap</t>
  </si>
  <si>
    <t>A-302</t>
  </si>
  <si>
    <t>Mr. Vineet Gupta</t>
  </si>
  <si>
    <t>A-303</t>
  </si>
  <si>
    <t>Mr. Sunil Kumar</t>
  </si>
  <si>
    <t>A-304</t>
  </si>
  <si>
    <t>Mr. Rajeev Sharma</t>
  </si>
  <si>
    <t>Fourth</t>
  </si>
  <si>
    <t>A-401</t>
  </si>
  <si>
    <t>Mr. Purnendu Kumar</t>
  </si>
  <si>
    <t>A-402</t>
  </si>
  <si>
    <t>Mrs. Neetu Singh</t>
  </si>
  <si>
    <t>A-403</t>
  </si>
  <si>
    <t>Ms. Hina Thakur</t>
  </si>
  <si>
    <t>A-404</t>
  </si>
  <si>
    <t>-</t>
  </si>
  <si>
    <t>Fifth</t>
  </si>
  <si>
    <t>A-501</t>
  </si>
  <si>
    <t>Mrs. Nagar Geeta Inderjit</t>
  </si>
  <si>
    <t>A-502</t>
  </si>
  <si>
    <t>Mr. Hem Chandra Tripathi</t>
  </si>
  <si>
    <t>A-503</t>
  </si>
  <si>
    <t>Mr. Harbeer</t>
  </si>
  <si>
    <t>A-504</t>
  </si>
  <si>
    <t>Mr. Prempal Singh</t>
  </si>
  <si>
    <t>Sixth</t>
  </si>
  <si>
    <t>A-601</t>
  </si>
  <si>
    <t>Mrs. Priti Singh</t>
  </si>
  <si>
    <t>A-602</t>
  </si>
  <si>
    <t>Mrs. Anita</t>
  </si>
  <si>
    <t>A-603</t>
  </si>
  <si>
    <t>A-604</t>
  </si>
  <si>
    <t>Mr. Vinod Kumar Pal</t>
  </si>
  <si>
    <t>Seventh</t>
  </si>
  <si>
    <t>A-701</t>
  </si>
  <si>
    <t>Mr. Lucknesh Kumar</t>
  </si>
  <si>
    <t>A-702</t>
  </si>
  <si>
    <t>A-703</t>
  </si>
  <si>
    <t>Mr. Kaushal Kishor</t>
  </si>
  <si>
    <t>A-704</t>
  </si>
  <si>
    <t>Mr. Mukesh Chandra Sharma</t>
  </si>
  <si>
    <t>Eight</t>
  </si>
  <si>
    <t>A-801</t>
  </si>
  <si>
    <t>Mr. Gaurav Sharma</t>
  </si>
  <si>
    <t>A-802</t>
  </si>
  <si>
    <t>Mr. Mukesh Chandra Gupta</t>
  </si>
  <si>
    <t>A-803(Meter Change)</t>
  </si>
  <si>
    <t>Ms. Neha Saxena</t>
  </si>
  <si>
    <t>A-804</t>
  </si>
  <si>
    <t>Mr. Rajeev Soti</t>
  </si>
  <si>
    <t>Ninth</t>
  </si>
  <si>
    <t>A-901</t>
  </si>
  <si>
    <t>Mr. Aditya Jain</t>
  </si>
  <si>
    <t>A-902</t>
  </si>
  <si>
    <t>Mr. Bhupendra Kumar</t>
  </si>
  <si>
    <t>A-903</t>
  </si>
  <si>
    <t>Mr. Pankaj Kumar</t>
  </si>
  <si>
    <t>A-904</t>
  </si>
  <si>
    <t>Mr. Vijay Mohan</t>
  </si>
  <si>
    <t>Tenth</t>
  </si>
  <si>
    <t>A-1001</t>
  </si>
  <si>
    <t>Mrs. Pooja Devrani</t>
  </si>
  <si>
    <t>A-1002</t>
  </si>
  <si>
    <t>Mr. Akhilesh Kumar Ramani</t>
  </si>
  <si>
    <t>A-1003</t>
  </si>
  <si>
    <t>Mrs. Rajlakshmi</t>
  </si>
  <si>
    <t>A-1004</t>
  </si>
  <si>
    <t>Mr. Hariraj Singh Tomar</t>
  </si>
  <si>
    <t>Eleventh</t>
  </si>
  <si>
    <t>A-1101</t>
  </si>
  <si>
    <t>Akriti Chander</t>
  </si>
  <si>
    <t>A-1102</t>
  </si>
  <si>
    <t>Mr. Sambir Lama</t>
  </si>
  <si>
    <t>A-1103</t>
  </si>
  <si>
    <t>A-1104</t>
  </si>
  <si>
    <t>Mrs. Dipti Arora</t>
  </si>
  <si>
    <t>Twelfth</t>
  </si>
  <si>
    <t>A-1201</t>
  </si>
  <si>
    <t>Mr. Anurag Chauhan</t>
  </si>
  <si>
    <t>A-1202</t>
  </si>
  <si>
    <t>Mr. Devender Singh Pal</t>
  </si>
  <si>
    <t>A-1203</t>
  </si>
  <si>
    <t>A-1204</t>
  </si>
  <si>
    <t>Mr. Pawan Kumar Rai</t>
  </si>
  <si>
    <t>Twelve-A</t>
  </si>
  <si>
    <t>A-12A-01</t>
  </si>
  <si>
    <t>Mr. Abhishek Pandey</t>
  </si>
  <si>
    <t>A-12A-02</t>
  </si>
  <si>
    <t>Mr. Pradeep Kumar Sharma</t>
  </si>
  <si>
    <t>A-12A-03</t>
  </si>
  <si>
    <t>Mr. Kshitiz Arora</t>
  </si>
  <si>
    <t>A-12A-04</t>
  </si>
  <si>
    <t>Mr. Shashi Kumar</t>
  </si>
  <si>
    <t>Fourteenth</t>
  </si>
  <si>
    <t>A-1401</t>
  </si>
  <si>
    <t>Mr. Raj Kumar Pandey</t>
  </si>
  <si>
    <t>A-1402</t>
  </si>
  <si>
    <t>A-1403</t>
  </si>
  <si>
    <t>A-1404</t>
  </si>
  <si>
    <t>Mr. Satyaveer Yadav</t>
  </si>
  <si>
    <t>Fifteenth</t>
  </si>
  <si>
    <t>A-1501</t>
  </si>
  <si>
    <t>Mr. Allan Saugat</t>
  </si>
  <si>
    <t>A-1502</t>
  </si>
  <si>
    <t>A-1503</t>
  </si>
  <si>
    <t>Mr. Rishabh Pal</t>
  </si>
  <si>
    <t>A-1504</t>
  </si>
  <si>
    <t>Mr. Jayant Jain</t>
  </si>
  <si>
    <t>Sixteenth</t>
  </si>
  <si>
    <t>A-1601</t>
  </si>
  <si>
    <t>A-1602</t>
  </si>
  <si>
    <t>Mr. Raj Jagpal Kaushik</t>
  </si>
  <si>
    <t>A-1603</t>
  </si>
  <si>
    <t>Mr. Abhay Saxena</t>
  </si>
  <si>
    <t>A-1604</t>
  </si>
  <si>
    <t>Ms. Kanishka Talan</t>
  </si>
  <si>
    <t>Seventeenth</t>
  </si>
  <si>
    <t>A-1701</t>
  </si>
  <si>
    <t>Mrs. Shilpa Patial</t>
  </si>
  <si>
    <t>A-1702</t>
  </si>
  <si>
    <t>Mr. Rajiv Ranjan Prasad</t>
  </si>
  <si>
    <t>A-1703</t>
  </si>
  <si>
    <t>A-1704</t>
  </si>
  <si>
    <t>18th&amp;19th</t>
  </si>
  <si>
    <t>A-1801</t>
  </si>
  <si>
    <t>Pent House - Duplex (2300 Sq. Ft.)</t>
  </si>
  <si>
    <t>A-1802</t>
  </si>
  <si>
    <t>Mrs. JAGESH DALAL</t>
  </si>
  <si>
    <t>A-1803</t>
  </si>
  <si>
    <t>A-1804</t>
  </si>
  <si>
    <t>B</t>
  </si>
  <si>
    <t>B-101</t>
  </si>
  <si>
    <t>Mr. Varun Sharma</t>
  </si>
  <si>
    <t>3BHK+2T (1290 Sq.Ft)</t>
  </si>
  <si>
    <t>B-102</t>
  </si>
  <si>
    <t>Mr. Tarun Sharma</t>
  </si>
  <si>
    <t>B-103</t>
  </si>
  <si>
    <t>Ms. Rashi Joshi</t>
  </si>
  <si>
    <t>B-104</t>
  </si>
  <si>
    <t>Mr. Tarun Mehta</t>
  </si>
  <si>
    <t>B-105</t>
  </si>
  <si>
    <t>Ms. Neha Sharma</t>
  </si>
  <si>
    <t>2BHK+2T(995 Sq.Ft)</t>
  </si>
  <si>
    <t>B-106</t>
  </si>
  <si>
    <t>Mr. Naveen Gulati</t>
  </si>
  <si>
    <t>B-107</t>
  </si>
  <si>
    <t>Mr. Laxmidatta Dalbehera</t>
  </si>
  <si>
    <t>B-108</t>
  </si>
  <si>
    <t>B-201</t>
  </si>
  <si>
    <t>Ms. Jaya Paliwal</t>
  </si>
  <si>
    <t>B-202</t>
  </si>
  <si>
    <t>Mrs. Anu Garg</t>
  </si>
  <si>
    <t>B-203</t>
  </si>
  <si>
    <t>Mr. Raghuvansh Singh Raghav</t>
  </si>
  <si>
    <t>B-204</t>
  </si>
  <si>
    <t>Mr. Surjit Singh Talwar</t>
  </si>
  <si>
    <t>B-205</t>
  </si>
  <si>
    <t>Mr. Manish Verma</t>
  </si>
  <si>
    <t>B-206</t>
  </si>
  <si>
    <t>Mr. Rahul Tanwar</t>
  </si>
  <si>
    <t>B-207</t>
  </si>
  <si>
    <t>Mr. Deepak Singh Gahlot</t>
  </si>
  <si>
    <t>B-208</t>
  </si>
  <si>
    <t>Mrs. Seethalakshmi Nagarajan</t>
  </si>
  <si>
    <t>B-301</t>
  </si>
  <si>
    <t>Mrs. Sunita Kaul</t>
  </si>
  <si>
    <t>B-302</t>
  </si>
  <si>
    <t>Mrs. Bhagwati Raghav</t>
  </si>
  <si>
    <t>B-303</t>
  </si>
  <si>
    <t>Mrs. Gomathy Subbaraman</t>
  </si>
  <si>
    <t>B-304</t>
  </si>
  <si>
    <t>Ms. Aakriti Dwivedi</t>
  </si>
  <si>
    <t>B-305</t>
  </si>
  <si>
    <t>Mrs. Rakhi Sharma</t>
  </si>
  <si>
    <t>B-306</t>
  </si>
  <si>
    <t>Mr. Krishna Muraree Singh</t>
  </si>
  <si>
    <t>B-307</t>
  </si>
  <si>
    <t>B-308</t>
  </si>
  <si>
    <t>B-401</t>
  </si>
  <si>
    <t>Mr. Anil Kumar Pal</t>
  </si>
  <si>
    <t>B-402</t>
  </si>
  <si>
    <t>B-403</t>
  </si>
  <si>
    <t>Mrs. Bindu Peethambaran</t>
  </si>
  <si>
    <t>B-404</t>
  </si>
  <si>
    <t>B-405</t>
  </si>
  <si>
    <t>Mr. Pankaj Sharma</t>
  </si>
  <si>
    <t>B-406</t>
  </si>
  <si>
    <t>Mr. Ankit Chaurasia</t>
  </si>
  <si>
    <t>B-407</t>
  </si>
  <si>
    <t>Mr. Amit Kumar Pandey</t>
  </si>
  <si>
    <t>B-408</t>
  </si>
  <si>
    <t>Mr. Ankush Tayal</t>
  </si>
  <si>
    <t>B-501</t>
  </si>
  <si>
    <t>Ms. Swathi S Iyer</t>
  </si>
  <si>
    <t>B-502</t>
  </si>
  <si>
    <t>Mrs. Ruby Gupta</t>
  </si>
  <si>
    <t>B-503</t>
  </si>
  <si>
    <t>Mr. Anil Dhawan</t>
  </si>
  <si>
    <t>B-504</t>
  </si>
  <si>
    <t>Mrs. Nidhi Bhagat</t>
  </si>
  <si>
    <t>B-505</t>
  </si>
  <si>
    <t>Mr. Sheel Kumar Mishra</t>
  </si>
  <si>
    <t>B-506</t>
  </si>
  <si>
    <t>B-507</t>
  </si>
  <si>
    <t>Mr. Varinder Sabharwal</t>
  </si>
  <si>
    <t>B-508</t>
  </si>
  <si>
    <t>Mrs. Uma Dey</t>
  </si>
  <si>
    <t>B-601</t>
  </si>
  <si>
    <t>Mr. Anuj Kumar Awasthi</t>
  </si>
  <si>
    <t>B-602</t>
  </si>
  <si>
    <t>Mr. Vishwa Ratna Mishra</t>
  </si>
  <si>
    <t>B-603</t>
  </si>
  <si>
    <t>Mr. Nishant Kumar Rai</t>
  </si>
  <si>
    <t>B-604</t>
  </si>
  <si>
    <t>Mrs. Anuradha Sharma</t>
  </si>
  <si>
    <t>B-605</t>
  </si>
  <si>
    <t>B-606</t>
  </si>
  <si>
    <t>Mr. Rajpati Raj Srivastava</t>
  </si>
  <si>
    <t>B-607</t>
  </si>
  <si>
    <t>Mr. Anil Sachan</t>
  </si>
  <si>
    <t>B-608</t>
  </si>
  <si>
    <t>Ms. Soni Paliwal</t>
  </si>
  <si>
    <t>B-701</t>
  </si>
  <si>
    <t>Mrs. Geetika</t>
  </si>
  <si>
    <t>B-702</t>
  </si>
  <si>
    <t>Mr. Ravindra Kumar Attri</t>
  </si>
  <si>
    <t>B-703</t>
  </si>
  <si>
    <t>Ms. Ekta Srivastava</t>
  </si>
  <si>
    <t>B-704</t>
  </si>
  <si>
    <t>Mr. Abu Bakar</t>
  </si>
  <si>
    <t>B-705</t>
  </si>
  <si>
    <t>Mr. Sanjeev Kumar Dubey</t>
  </si>
  <si>
    <t>B-706</t>
  </si>
  <si>
    <t>Mr. Vinod Singh Bisht</t>
  </si>
  <si>
    <t>B-707</t>
  </si>
  <si>
    <t>Mr. Nitin Arora</t>
  </si>
  <si>
    <t>B-708</t>
  </si>
  <si>
    <t>Mrs. Shalini Gupta</t>
  </si>
  <si>
    <t>B-801</t>
  </si>
  <si>
    <t>Mr. Tara Chandra</t>
  </si>
  <si>
    <t>B-802</t>
  </si>
  <si>
    <t>Mr. Raj Kumar Gupta</t>
  </si>
  <si>
    <t>B-803</t>
  </si>
  <si>
    <t>Mr. Amit Arora</t>
  </si>
  <si>
    <t>B-804</t>
  </si>
  <si>
    <t>Ms. Anjli Sandilya</t>
  </si>
  <si>
    <t>B-805</t>
  </si>
  <si>
    <t>Mr. Virendra Kumar Agrawal</t>
  </si>
  <si>
    <t>B-806</t>
  </si>
  <si>
    <t>Mrs. Ritu Agarwal</t>
  </si>
  <si>
    <t>B-807</t>
  </si>
  <si>
    <t>Mrs. Nidhi Goyal</t>
  </si>
  <si>
    <t>B-808</t>
  </si>
  <si>
    <t>B-901</t>
  </si>
  <si>
    <t>Mr. Gaurav Gautam</t>
  </si>
  <si>
    <t>B-902</t>
  </si>
  <si>
    <t>Mrs. Tara Appachu Sharma</t>
  </si>
  <si>
    <t>B-903</t>
  </si>
  <si>
    <t>Mrs. Chitra Chatterji</t>
  </si>
  <si>
    <t>B-904</t>
  </si>
  <si>
    <t>Ms. Sapna Kansal</t>
  </si>
  <si>
    <t>B-905</t>
  </si>
  <si>
    <t>Mr. Rajesh Kumar Agrawal</t>
  </si>
  <si>
    <t>B-906</t>
  </si>
  <si>
    <t>Mrs. Aakifa Maqbool</t>
  </si>
  <si>
    <t>B-907</t>
  </si>
  <si>
    <t>Mr. Atishya Jain</t>
  </si>
  <si>
    <t>B-908</t>
  </si>
  <si>
    <t>Mr. Anuj Agarwal</t>
  </si>
  <si>
    <t>B-1001</t>
  </si>
  <si>
    <t>Mr. Narendra Pal Singh</t>
  </si>
  <si>
    <t>B-1002</t>
  </si>
  <si>
    <t>Mr. Dheerendra Kumar Dwivedi</t>
  </si>
  <si>
    <t>B-1003</t>
  </si>
  <si>
    <t>Mr. Harendra Kumar</t>
  </si>
  <si>
    <t>B-1004</t>
  </si>
  <si>
    <t>Mr. Avinash Kumar Verma</t>
  </si>
  <si>
    <t>B-1005</t>
  </si>
  <si>
    <t>Mr. Rakesh Kumar Rai</t>
  </si>
  <si>
    <t>B-1006</t>
  </si>
  <si>
    <t>Mr. Yogesh Anand</t>
  </si>
  <si>
    <t>B-1007</t>
  </si>
  <si>
    <t>Mr. Deepak Tyagi</t>
  </si>
  <si>
    <t>B-1008</t>
  </si>
  <si>
    <t>Mr. Surender Singh</t>
  </si>
  <si>
    <t>B-1101</t>
  </si>
  <si>
    <t>Mr. Devendra Singh Rawat</t>
  </si>
  <si>
    <t>B-1102</t>
  </si>
  <si>
    <t>Mr. Shivam Singh</t>
  </si>
  <si>
    <t>B-1103</t>
  </si>
  <si>
    <t>Mr. Om Parkash Sharma</t>
  </si>
  <si>
    <t>B-1104</t>
  </si>
  <si>
    <t>B-1105</t>
  </si>
  <si>
    <t>Mr. Anurag Singh</t>
  </si>
  <si>
    <t>B-1106</t>
  </si>
  <si>
    <t>Mr. Ajeet Kumar Nigam</t>
  </si>
  <si>
    <t>B-1107</t>
  </si>
  <si>
    <t>B-1108</t>
  </si>
  <si>
    <t>Twelth</t>
  </si>
  <si>
    <t>B-1201</t>
  </si>
  <si>
    <t>Mr. Abhinav Kumar</t>
  </si>
  <si>
    <t>B-1202</t>
  </si>
  <si>
    <t>Mr. Milan Mishra</t>
  </si>
  <si>
    <t>B-1203</t>
  </si>
  <si>
    <t>Mr. Manoj Kumar</t>
  </si>
  <si>
    <t>B-1204</t>
  </si>
  <si>
    <t>Mr. Gourav Maharshi</t>
  </si>
  <si>
    <t>B-1205</t>
  </si>
  <si>
    <t>Mr. Prawal Pratap Singh</t>
  </si>
  <si>
    <t>B-1206</t>
  </si>
  <si>
    <t>Mr. Gaurav Kumar</t>
  </si>
  <si>
    <t>B-1207</t>
  </si>
  <si>
    <t>Mrs. Shalini Agarwal</t>
  </si>
  <si>
    <t>B-1208</t>
  </si>
  <si>
    <t>Mr. Pramod Kumar</t>
  </si>
  <si>
    <t>B-12A-01</t>
  </si>
  <si>
    <t>Mrs. Saumya Tiwari</t>
  </si>
  <si>
    <t>B-12A-02</t>
  </si>
  <si>
    <t>Mr. Rajiv Kumar Tiwari</t>
  </si>
  <si>
    <t>B-12A-03</t>
  </si>
  <si>
    <t>Mr. Sumit Sachan</t>
  </si>
  <si>
    <t>B-12A-04</t>
  </si>
  <si>
    <t>Mrs. Chander Kanta Gulati</t>
  </si>
  <si>
    <t>B-12A-05</t>
  </si>
  <si>
    <t>Ms. Ritu Jain</t>
  </si>
  <si>
    <t>B-12A-06</t>
  </si>
  <si>
    <t>Mr. Rajesh Pandey</t>
  </si>
  <si>
    <t>B-12A-07</t>
  </si>
  <si>
    <t>Mr. Sushil Kumar Rana</t>
  </si>
  <si>
    <t>B-12A-08</t>
  </si>
  <si>
    <t>Forteenth</t>
  </si>
  <si>
    <t>B-1401</t>
  </si>
  <si>
    <t>B-1402</t>
  </si>
  <si>
    <t>Mr. Ram Avtar Garg</t>
  </si>
  <si>
    <t>B-1403</t>
  </si>
  <si>
    <t>Mr. Radhakrishnan Puthanthermadathil</t>
  </si>
  <si>
    <t>B-1404</t>
  </si>
  <si>
    <t>Mrs. Triveni</t>
  </si>
  <si>
    <t>B-1405</t>
  </si>
  <si>
    <t>Mr. Ramesh Kumar Singh</t>
  </si>
  <si>
    <t>B-1406</t>
  </si>
  <si>
    <t>Mr. Kumar Abhiranjan</t>
  </si>
  <si>
    <t>B-1407</t>
  </si>
  <si>
    <t>Mrs. Krishna Sharma</t>
  </si>
  <si>
    <t>B-1408</t>
  </si>
  <si>
    <t>B-1501</t>
  </si>
  <si>
    <t>Mrs. Sonali Bhardwaj</t>
  </si>
  <si>
    <t>B-1502</t>
  </si>
  <si>
    <t>Mr. Anurag Sinha</t>
  </si>
  <si>
    <t>B-1503</t>
  </si>
  <si>
    <t>Mr. Adesh Gupta</t>
  </si>
  <si>
    <t>B-1504</t>
  </si>
  <si>
    <t>Mr. Vikas Kumar</t>
  </si>
  <si>
    <t>B-1505</t>
  </si>
  <si>
    <t>Ms. Deepa Patnaik</t>
  </si>
  <si>
    <t>B-1506</t>
  </si>
  <si>
    <t>B-1507</t>
  </si>
  <si>
    <t>Mr. Vikas Pathak</t>
  </si>
  <si>
    <t>B-1508</t>
  </si>
  <si>
    <t>B-1601</t>
  </si>
  <si>
    <t>Mr. Sushant Tewari</t>
  </si>
  <si>
    <t>B-1602</t>
  </si>
  <si>
    <t>Mrs. Tanuja Tomar</t>
  </si>
  <si>
    <t>B-1603</t>
  </si>
  <si>
    <t>Mr. Amit Chawla</t>
  </si>
  <si>
    <t>B-1604</t>
  </si>
  <si>
    <t>Mr. Shivendra Shah</t>
  </si>
  <si>
    <t>B-1605</t>
  </si>
  <si>
    <t>Mrs. Tandrani Ghosh</t>
  </si>
  <si>
    <t>B-1606</t>
  </si>
  <si>
    <t>Mr. Subir Kumar Ghosh</t>
  </si>
  <si>
    <t>B-1607</t>
  </si>
  <si>
    <t>B-1608</t>
  </si>
  <si>
    <t>B-1701</t>
  </si>
  <si>
    <t>Ms. Ankita Gupta</t>
  </si>
  <si>
    <t>B-1702</t>
  </si>
  <si>
    <t>Mr. Deobrat Pal</t>
  </si>
  <si>
    <t>B-1703</t>
  </si>
  <si>
    <t>Mr. Awdhesh Kumar Mishra</t>
  </si>
  <si>
    <t>B-1704</t>
  </si>
  <si>
    <t>Mr. Sapan Kapoor</t>
  </si>
  <si>
    <t>B-1705</t>
  </si>
  <si>
    <t>B-1706</t>
  </si>
  <si>
    <t>Mrs. Ruchi Kumar</t>
  </si>
  <si>
    <t>B-1707</t>
  </si>
  <si>
    <t>B-1708</t>
  </si>
  <si>
    <t>Eighteenth</t>
  </si>
  <si>
    <t>B-1801</t>
  </si>
  <si>
    <t>B-1802</t>
  </si>
  <si>
    <t>Mrs. Jaya Srivastava</t>
  </si>
  <si>
    <t>B-1803</t>
  </si>
  <si>
    <t>B-1804</t>
  </si>
  <si>
    <t>Mr. Rahul Roy Chowdhury</t>
  </si>
  <si>
    <t>B-1805</t>
  </si>
  <si>
    <t>B-1806</t>
  </si>
  <si>
    <t>B-1807</t>
  </si>
  <si>
    <t>B-1808</t>
  </si>
  <si>
    <t>Ninteenth</t>
  </si>
  <si>
    <t>B-1901</t>
  </si>
  <si>
    <t>B-1902</t>
  </si>
  <si>
    <t>Mr. Jitendra Kumar</t>
  </si>
  <si>
    <t>B-1903</t>
  </si>
  <si>
    <t>B-1904</t>
  </si>
  <si>
    <t>Mr. Rohit Yadav</t>
  </si>
  <si>
    <t>B-1905</t>
  </si>
  <si>
    <t>B-1906</t>
  </si>
  <si>
    <t>B-1907</t>
  </si>
  <si>
    <t>B-1908</t>
  </si>
  <si>
    <t>C</t>
  </si>
  <si>
    <t>FIRST</t>
  </si>
  <si>
    <t>C-101</t>
  </si>
  <si>
    <t>Mr. Vineet Kumar</t>
  </si>
  <si>
    <t>C-102</t>
  </si>
  <si>
    <t>Mr. Manmohan Anand</t>
  </si>
  <si>
    <t>C-103</t>
  </si>
  <si>
    <t>C-104</t>
  </si>
  <si>
    <t>Mr. Yatish Kumar Singh</t>
  </si>
  <si>
    <t>C-105</t>
  </si>
  <si>
    <t>Mr. Rajesh Kumar Goel</t>
  </si>
  <si>
    <t>C-106</t>
  </si>
  <si>
    <t>Mr. Anil Goyal</t>
  </si>
  <si>
    <t>C-107</t>
  </si>
  <si>
    <t>C-108</t>
  </si>
  <si>
    <t>Mr. Vimal Verma</t>
  </si>
  <si>
    <t>SECOND</t>
  </si>
  <si>
    <t>C-201</t>
  </si>
  <si>
    <t>C-202</t>
  </si>
  <si>
    <t>Mr. Rohan Sharma</t>
  </si>
  <si>
    <t>C-203</t>
  </si>
  <si>
    <t>Mr. Jai Veer Singh</t>
  </si>
  <si>
    <t>C-204</t>
  </si>
  <si>
    <t>Mrs. Priti Shukla</t>
  </si>
  <si>
    <t>C-205</t>
  </si>
  <si>
    <t>Mr. Amar Deep Singh</t>
  </si>
  <si>
    <t>C-206</t>
  </si>
  <si>
    <t>Mr. Dilip Kumar Sah</t>
  </si>
  <si>
    <t>C-207</t>
  </si>
  <si>
    <t>C-208</t>
  </si>
  <si>
    <t>Mr. Shubham Srivastava</t>
  </si>
  <si>
    <t>THIRD</t>
  </si>
  <si>
    <t>C-301</t>
  </si>
  <si>
    <t>Mrs. Nidhi Bhardwaj</t>
  </si>
  <si>
    <t>C-302</t>
  </si>
  <si>
    <t>C-303</t>
  </si>
  <si>
    <t>Mrs. Shweta Pal</t>
  </si>
  <si>
    <t>C-304</t>
  </si>
  <si>
    <t>Mr. Harvinder Pal Singh</t>
  </si>
  <si>
    <t>C-305</t>
  </si>
  <si>
    <t>Mr. Sujeet Kumar</t>
  </si>
  <si>
    <t>C-306</t>
  </si>
  <si>
    <t>Mrs. Sanjeeda Begum</t>
  </si>
  <si>
    <t>C-307</t>
  </si>
  <si>
    <t>Ms. Divya Goel</t>
  </si>
  <si>
    <t>C-308</t>
  </si>
  <si>
    <t>Ms. Kalpana Jitendra Borkar</t>
  </si>
  <si>
    <t>FOURTH</t>
  </si>
  <si>
    <t>C-401</t>
  </si>
  <si>
    <t>Mr. Sumit Kumar Bhasin</t>
  </si>
  <si>
    <t>C-402</t>
  </si>
  <si>
    <t>Mrs. Mini Sajy</t>
  </si>
  <si>
    <t>C-403</t>
  </si>
  <si>
    <t>Mr. Satender</t>
  </si>
  <si>
    <t>C-404</t>
  </si>
  <si>
    <t>Mr. Raj Kumar Singh</t>
  </si>
  <si>
    <t>C-405</t>
  </si>
  <si>
    <t>Mr. Vinod Kumar</t>
  </si>
  <si>
    <t>C-406</t>
  </si>
  <si>
    <t>Mrs. Isha Sharma</t>
  </si>
  <si>
    <t>C-407</t>
  </si>
  <si>
    <t>Mr. Gaurav Kumar Yadav</t>
  </si>
  <si>
    <t>C-408</t>
  </si>
  <si>
    <t>Mr. Rajvir Singh Khirwar</t>
  </si>
  <si>
    <t>FIFTH</t>
  </si>
  <si>
    <t>C-501</t>
  </si>
  <si>
    <t>Mrs. K. Kalpana</t>
  </si>
  <si>
    <t>C-502</t>
  </si>
  <si>
    <t>Mrs. Rachna</t>
  </si>
  <si>
    <t>C-503</t>
  </si>
  <si>
    <t>Mr. Sanjay Kumar Dubey</t>
  </si>
  <si>
    <t>C-504</t>
  </si>
  <si>
    <t>Mr. Surya Prakash Mishra</t>
  </si>
  <si>
    <t>C-505</t>
  </si>
  <si>
    <t>Mr. Onkar Vidyarthi</t>
  </si>
  <si>
    <t>C-506</t>
  </si>
  <si>
    <t>Mr. Sri Niwas Mishra</t>
  </si>
  <si>
    <t>C-507</t>
  </si>
  <si>
    <t>Mr. Gagandeep Singh</t>
  </si>
  <si>
    <t>C-508</t>
  </si>
  <si>
    <t>Mr. Avnish Kumar</t>
  </si>
  <si>
    <t>SIXTH</t>
  </si>
  <si>
    <t>C-601</t>
  </si>
  <si>
    <t>Mrs. Rajrani</t>
  </si>
  <si>
    <t>C-602</t>
  </si>
  <si>
    <t>Mrs. Madhu Bala</t>
  </si>
  <si>
    <t>C-603</t>
  </si>
  <si>
    <t>Mr. Rakesh Kumar Talwar</t>
  </si>
  <si>
    <t>C-604</t>
  </si>
  <si>
    <t>Mr. Suresh Dhoundiyal</t>
  </si>
  <si>
    <t>C-605</t>
  </si>
  <si>
    <t>C-606</t>
  </si>
  <si>
    <t>Mr. Amrit Pal Singh</t>
  </si>
  <si>
    <t>C-607</t>
  </si>
  <si>
    <t>Mr. Lokesh Kumar Premi</t>
  </si>
  <si>
    <t>C-608</t>
  </si>
  <si>
    <t>Mr. Amarpal Singh</t>
  </si>
  <si>
    <t>SEVENTH</t>
  </si>
  <si>
    <t>C-701</t>
  </si>
  <si>
    <t>Mrs. Anjeeta Nandan</t>
  </si>
  <si>
    <t>C-702</t>
  </si>
  <si>
    <t>Mr. Prashant Jaiswal</t>
  </si>
  <si>
    <t>C-703</t>
  </si>
  <si>
    <t>Mr. Arindam Sen</t>
  </si>
  <si>
    <t>C-704</t>
  </si>
  <si>
    <t>C-705</t>
  </si>
  <si>
    <t>C-706</t>
  </si>
  <si>
    <t>C-707</t>
  </si>
  <si>
    <t>Mr. Mukesh Kumar Choudhary</t>
  </si>
  <si>
    <t>C-708</t>
  </si>
  <si>
    <t>Ms. Sonika Nagar</t>
  </si>
  <si>
    <t>EIGHT</t>
  </si>
  <si>
    <t>C-801</t>
  </si>
  <si>
    <t>Mr. Himanshu Prakash Tiwari</t>
  </si>
  <si>
    <t>C-802</t>
  </si>
  <si>
    <t>C-803</t>
  </si>
  <si>
    <t>Mr. Vikas Singh</t>
  </si>
  <si>
    <t>C-804</t>
  </si>
  <si>
    <t>Mr. Leon Emanuel</t>
  </si>
  <si>
    <t>C-805</t>
  </si>
  <si>
    <t>Mrs. Sanjana Rawat</t>
  </si>
  <si>
    <t>C-806</t>
  </si>
  <si>
    <t>Mrs. Nitika Giroti</t>
  </si>
  <si>
    <t>C-807</t>
  </si>
  <si>
    <t>Mrs. Suraksha</t>
  </si>
  <si>
    <t>C-808</t>
  </si>
  <si>
    <t>Mr. Rakesh Kumar</t>
  </si>
  <si>
    <t>NINTH</t>
  </si>
  <si>
    <t>C-901</t>
  </si>
  <si>
    <t>Mr. N S Krishnan</t>
  </si>
  <si>
    <t>C-902</t>
  </si>
  <si>
    <t>Mr. Mayank Monal Jha</t>
  </si>
  <si>
    <t>C-903</t>
  </si>
  <si>
    <t>Mr. Satish Chand Yadav</t>
  </si>
  <si>
    <t>C-904</t>
  </si>
  <si>
    <t>Mrs. Sunanda Sairaha</t>
  </si>
  <si>
    <t>C-905</t>
  </si>
  <si>
    <t>C-906</t>
  </si>
  <si>
    <t>Mrs. Anjana Jha</t>
  </si>
  <si>
    <t>C-907</t>
  </si>
  <si>
    <t>Mr. Gopal Pathak</t>
  </si>
  <si>
    <t>C-908</t>
  </si>
  <si>
    <t>Mr. Yatin Kumar</t>
  </si>
  <si>
    <t>TENTH</t>
  </si>
  <si>
    <t>C-1001</t>
  </si>
  <si>
    <t>Mr. Santosh Kumar Singh</t>
  </si>
  <si>
    <t>C-1002</t>
  </si>
  <si>
    <t>Mr. Ram Babu Mishra</t>
  </si>
  <si>
    <t>C-1003</t>
  </si>
  <si>
    <t>Mr. Narayan Prasad</t>
  </si>
  <si>
    <t>C-1004</t>
  </si>
  <si>
    <t>Mr. Raja Ram Prasad</t>
  </si>
  <si>
    <t>C-1005</t>
  </si>
  <si>
    <t>C-1006</t>
  </si>
  <si>
    <t>Mr. Anant Kumar Bajpai</t>
  </si>
  <si>
    <t>C-1007</t>
  </si>
  <si>
    <t>Mr. Rajan Bhalla</t>
  </si>
  <si>
    <t>C-1008</t>
  </si>
  <si>
    <t>Mr. Kanhya Thakur</t>
  </si>
  <si>
    <t>ELEVENTH</t>
  </si>
  <si>
    <t>C-1101</t>
  </si>
  <si>
    <t>Mr. Rajeev Kumar Trikha</t>
  </si>
  <si>
    <t>C-1102</t>
  </si>
  <si>
    <t>Mrs. Vineeta Bajpai</t>
  </si>
  <si>
    <t>C-1103</t>
  </si>
  <si>
    <t>Mr. Ajit Kumar Singh</t>
  </si>
  <si>
    <t>C-1104</t>
  </si>
  <si>
    <t>Mr. Pradeep Singh</t>
  </si>
  <si>
    <t>C-1105</t>
  </si>
  <si>
    <t>Mr. Arvind Kumar</t>
  </si>
  <si>
    <t>C-1106</t>
  </si>
  <si>
    <t>Mr. Vinit Kumar</t>
  </si>
  <si>
    <t>C-1107</t>
  </si>
  <si>
    <t>Mrs. Renu Gaba</t>
  </si>
  <si>
    <t>C-1108</t>
  </si>
  <si>
    <t>Mr. Rakesh Kumar Chopra</t>
  </si>
  <si>
    <t>TWELTH</t>
  </si>
  <si>
    <t>C-1201</t>
  </si>
  <si>
    <t>C-1202</t>
  </si>
  <si>
    <t>C-1203</t>
  </si>
  <si>
    <t>Mr. Avinash Singh</t>
  </si>
  <si>
    <t>C-1204</t>
  </si>
  <si>
    <t>Mr. Neeraj Kumar Jha</t>
  </si>
  <si>
    <t>C-1205</t>
  </si>
  <si>
    <t>Mr. Sunil Dutt Sharma</t>
  </si>
  <si>
    <t>C-1206</t>
  </si>
  <si>
    <t>Mr. Ram Babu</t>
  </si>
  <si>
    <t>C-1207</t>
  </si>
  <si>
    <t>Mr. Hari Shanker Tripathi</t>
  </si>
  <si>
    <t>C-1208</t>
  </si>
  <si>
    <t>Mr. Raman Kumar</t>
  </si>
  <si>
    <t>TWELVE-A</t>
  </si>
  <si>
    <t>C-12A-01</t>
  </si>
  <si>
    <t>Mrs. Shravani Mohanty</t>
  </si>
  <si>
    <t>C-12A-02</t>
  </si>
  <si>
    <t>Mr. Anup Narain Gaur</t>
  </si>
  <si>
    <t>C-12A-03</t>
  </si>
  <si>
    <t>Mrs. Alka</t>
  </si>
  <si>
    <t>C-12A-04</t>
  </si>
  <si>
    <t>Mr. Harendra Singh</t>
  </si>
  <si>
    <t>C-12A-05</t>
  </si>
  <si>
    <t>Mr. Rupak Kumar</t>
  </si>
  <si>
    <t>C-12A-06</t>
  </si>
  <si>
    <t>Ms. Jyotsana Paatni</t>
  </si>
  <si>
    <t>C-12A-07</t>
  </si>
  <si>
    <t>Mr. Roushan Kumar Singh</t>
  </si>
  <si>
    <t>C-12A-08</t>
  </si>
  <si>
    <t>Mr. Anoop Kumar</t>
  </si>
  <si>
    <t>FOURTEENTH</t>
  </si>
  <si>
    <t>C-1401</t>
  </si>
  <si>
    <t>C-1402</t>
  </si>
  <si>
    <t>Ms. Shruti Chakraborty</t>
  </si>
  <si>
    <t>C-1403</t>
  </si>
  <si>
    <t>Mr. Devashish Mohanty</t>
  </si>
  <si>
    <t>C-1404</t>
  </si>
  <si>
    <t>Mr. Pradipta Saha</t>
  </si>
  <si>
    <t>C-1405</t>
  </si>
  <si>
    <t>C-1406</t>
  </si>
  <si>
    <t>Mr. Saurav Singh</t>
  </si>
  <si>
    <t>C-1407</t>
  </si>
  <si>
    <t>Mr. Sanjeev Pathak</t>
  </si>
  <si>
    <t>C-1408</t>
  </si>
  <si>
    <t>Mr. Manoj Sharma</t>
  </si>
  <si>
    <t>FIFTEENTH</t>
  </si>
  <si>
    <t>C-1501</t>
  </si>
  <si>
    <t>Mrs. Priti Gorai</t>
  </si>
  <si>
    <t>C-1502</t>
  </si>
  <si>
    <t>C-1503</t>
  </si>
  <si>
    <t>Mr. Daya Sagar</t>
  </si>
  <si>
    <t>C-1504</t>
  </si>
  <si>
    <t>Mr. Atul Gupta</t>
  </si>
  <si>
    <t>C-1505</t>
  </si>
  <si>
    <t>Mr. Sachin Gupta</t>
  </si>
  <si>
    <t>C-1506</t>
  </si>
  <si>
    <t>Major Ajay Yadav</t>
  </si>
  <si>
    <t>C-1507</t>
  </si>
  <si>
    <t>C-1508</t>
  </si>
  <si>
    <t>Mrs. Sudesh Sirohi</t>
  </si>
  <si>
    <t>SIXTEENTH</t>
  </si>
  <si>
    <t>C-1601</t>
  </si>
  <si>
    <t>Mrs. Vijaya Laxmi Chopra</t>
  </si>
  <si>
    <t>C-1602</t>
  </si>
  <si>
    <t>Mr. Anup Mohan Johri</t>
  </si>
  <si>
    <t>C-1603</t>
  </si>
  <si>
    <t>C-1604</t>
  </si>
  <si>
    <t>Mr. Pardeep Kumar</t>
  </si>
  <si>
    <t>C-1605</t>
  </si>
  <si>
    <t>Mrs. Geeta Suresh</t>
  </si>
  <si>
    <t>C-1606</t>
  </si>
  <si>
    <t>Mrs. Namrata Singh</t>
  </si>
  <si>
    <t>C-1607</t>
  </si>
  <si>
    <t>Mrs. Chandrashila Singh</t>
  </si>
  <si>
    <t>C-1608</t>
  </si>
  <si>
    <t>Mr. Navin Kumar</t>
  </si>
  <si>
    <t>SEVENTEENTH</t>
  </si>
  <si>
    <t>C-1701 (APR-MISSING)</t>
  </si>
  <si>
    <t>Mrs. Richa Gupta</t>
  </si>
  <si>
    <t>C-1702</t>
  </si>
  <si>
    <t>Ms. Neha</t>
  </si>
  <si>
    <t>C-1703</t>
  </si>
  <si>
    <t>C-1704</t>
  </si>
  <si>
    <t>Mr. Kartik Gambhir</t>
  </si>
  <si>
    <t>C-1705</t>
  </si>
  <si>
    <t>Mr. Vineet Kumar Singh</t>
  </si>
  <si>
    <t>C-1706</t>
  </si>
  <si>
    <t>Mr. Vineet Saxena</t>
  </si>
  <si>
    <t>C-1707</t>
  </si>
  <si>
    <t>Mr. Virender Kumar</t>
  </si>
  <si>
    <t>C-1708</t>
  </si>
  <si>
    <t>EIGHTEENTH</t>
  </si>
  <si>
    <t>C-1801</t>
  </si>
  <si>
    <t>C-1802</t>
  </si>
  <si>
    <t>Mr. Prashant Sesodia</t>
  </si>
  <si>
    <t>C-1803</t>
  </si>
  <si>
    <t>Mrs. Rajni Aggarwal</t>
  </si>
  <si>
    <t>C-1804</t>
  </si>
  <si>
    <t>Mr. Ashish Kumar Aggarwal</t>
  </si>
  <si>
    <t>C-1805</t>
  </si>
  <si>
    <t>C-1806</t>
  </si>
  <si>
    <t>C-1807</t>
  </si>
  <si>
    <t>Mr. Anup Bhartia</t>
  </si>
  <si>
    <t>C-1808</t>
  </si>
  <si>
    <t>NINTEENTH</t>
  </si>
  <si>
    <t>C-1901</t>
  </si>
  <si>
    <t>Mr. Dinesh Verma</t>
  </si>
  <si>
    <t>C-1902</t>
  </si>
  <si>
    <t>C-1903</t>
  </si>
  <si>
    <t>C-1904</t>
  </si>
  <si>
    <t>C-1905</t>
  </si>
  <si>
    <t>C-1906</t>
  </si>
  <si>
    <t>C-1907</t>
  </si>
  <si>
    <t>Mr. Ajit Amoria</t>
  </si>
  <si>
    <t>C-1908</t>
  </si>
  <si>
    <t>VAULT</t>
  </si>
  <si>
    <t>V-101</t>
  </si>
  <si>
    <t>Mr. Simardeep Singh Bakshi</t>
  </si>
  <si>
    <t>Executive Studio(455 Sq. Ft.)</t>
  </si>
  <si>
    <t>V-102</t>
  </si>
  <si>
    <t>Premium Studio(595 Sq. Ft.)</t>
  </si>
  <si>
    <t>V-103</t>
  </si>
  <si>
    <t>Mr. Gagan Deep Singh</t>
  </si>
  <si>
    <t>2BHK+2T(850 Sq.Ft.)</t>
  </si>
  <si>
    <t>V-104</t>
  </si>
  <si>
    <t>Mr. Amit Vashist</t>
  </si>
  <si>
    <t>V-108</t>
  </si>
  <si>
    <t>Mr. Madhav Prasad Singh</t>
  </si>
  <si>
    <t>V-201</t>
  </si>
  <si>
    <t>Mr. Khairati Lal</t>
  </si>
  <si>
    <t>V-202</t>
  </si>
  <si>
    <t>V-203</t>
  </si>
  <si>
    <t>Mr. Pradeep Kumar</t>
  </si>
  <si>
    <t>V-204</t>
  </si>
  <si>
    <t>Mrs. Beena Mishra</t>
  </si>
  <si>
    <t>V-205</t>
  </si>
  <si>
    <t>2BHK+2T(1100 Sq.Ft.)</t>
  </si>
  <si>
    <t>V-206</t>
  </si>
  <si>
    <t>Mr. Ankit Kumar</t>
  </si>
  <si>
    <t>V-207</t>
  </si>
  <si>
    <t>Mr. Rajendra Singh</t>
  </si>
  <si>
    <t>V-208</t>
  </si>
  <si>
    <t>Mrs. Aarti Kumari Singh</t>
  </si>
  <si>
    <t>V-301</t>
  </si>
  <si>
    <t>V-302</t>
  </si>
  <si>
    <t>Mrs. Rani Gupta</t>
  </si>
  <si>
    <t>V-303</t>
  </si>
  <si>
    <t>Mr. Mukul Tyagi</t>
  </si>
  <si>
    <t>V-304</t>
  </si>
  <si>
    <t>Mr. Bhupender Kumar</t>
  </si>
  <si>
    <t>V-305</t>
  </si>
  <si>
    <t>V-306(12883+519)</t>
  </si>
  <si>
    <t>Mr. Deepak Bhardwaj</t>
  </si>
  <si>
    <t>V-307</t>
  </si>
  <si>
    <t>Mr. Avtar Singh</t>
  </si>
  <si>
    <t>V-308</t>
  </si>
  <si>
    <t>Mr. Vijai Kumar Ojha</t>
  </si>
  <si>
    <t>V-401</t>
  </si>
  <si>
    <t>V-402</t>
  </si>
  <si>
    <t>Mrs. Shweta Singh</t>
  </si>
  <si>
    <t>V-403</t>
  </si>
  <si>
    <t>V-404</t>
  </si>
  <si>
    <t>Mr. Amit Kumar Rai</t>
  </si>
  <si>
    <t>V-405</t>
  </si>
  <si>
    <t>Mr. Alok Kumar</t>
  </si>
  <si>
    <t>V-406</t>
  </si>
  <si>
    <t>Mrs. Kalpna Sharma</t>
  </si>
  <si>
    <t>V-407</t>
  </si>
  <si>
    <t>Mr. Ashish</t>
  </si>
  <si>
    <t>V-408</t>
  </si>
  <si>
    <t>Mr. Vinay Kumar</t>
  </si>
  <si>
    <t>V-501</t>
  </si>
  <si>
    <t>Mr. Mragank Sharma</t>
  </si>
  <si>
    <t>V-502</t>
  </si>
  <si>
    <t>Mrs. Raman Jain</t>
  </si>
  <si>
    <t>V-503</t>
  </si>
  <si>
    <t>Mr. Narender Singh</t>
  </si>
  <si>
    <t>V-504</t>
  </si>
  <si>
    <t>Mr. Madhusudan Prasad Singh</t>
  </si>
  <si>
    <t>V-505</t>
  </si>
  <si>
    <t>Mrs. Shipra Singh</t>
  </si>
  <si>
    <t>V-506</t>
  </si>
  <si>
    <t>Mrs. Pragya Paliwal</t>
  </si>
  <si>
    <t>V-507</t>
  </si>
  <si>
    <t>Mrs. Diksha Joshi</t>
  </si>
  <si>
    <t>V-508</t>
  </si>
  <si>
    <t>Mr. Pankaj Kumar Singh</t>
  </si>
  <si>
    <t>V-601</t>
  </si>
  <si>
    <t>Mrs. Neetu Pandey</t>
  </si>
  <si>
    <t>V-602</t>
  </si>
  <si>
    <t>Mr. Lakshay Sachdeva</t>
  </si>
  <si>
    <t>V-603</t>
  </si>
  <si>
    <t>Mr. Neil Sagar</t>
  </si>
  <si>
    <t>V-604</t>
  </si>
  <si>
    <t>Mrs. Niranjna Devi</t>
  </si>
  <si>
    <t>V-605</t>
  </si>
  <si>
    <t>Mr. Manoj Mathew</t>
  </si>
  <si>
    <t>V-606</t>
  </si>
  <si>
    <t>Mr. Kamlesh Kumar</t>
  </si>
  <si>
    <t>V-607</t>
  </si>
  <si>
    <t>Mr. Laxman Singh Chauhan</t>
  </si>
  <si>
    <t>V-608</t>
  </si>
  <si>
    <t>Mr. Naveen Kumar Mahur</t>
  </si>
  <si>
    <t>V-701</t>
  </si>
  <si>
    <t>V-702</t>
  </si>
  <si>
    <t>V-703</t>
  </si>
  <si>
    <t>Mr. Anjani Kumar Raghuvanshi</t>
  </si>
  <si>
    <t>V-704</t>
  </si>
  <si>
    <t>Mr. Anil Kumar Singh</t>
  </si>
  <si>
    <t>V-705</t>
  </si>
  <si>
    <t>Mr. Gaurav Bahuguna</t>
  </si>
  <si>
    <t>V-706</t>
  </si>
  <si>
    <t>Mr. Devendra Singh</t>
  </si>
  <si>
    <t>V-707</t>
  </si>
  <si>
    <t>Mrs. Shiva Sharma</t>
  </si>
  <si>
    <t>V-708</t>
  </si>
  <si>
    <t>Mr. Amit Kumar Saxena</t>
  </si>
  <si>
    <t>EIGHTH</t>
  </si>
  <si>
    <t>V-801</t>
  </si>
  <si>
    <t>Mr. Pitamber Lal Vaish</t>
  </si>
  <si>
    <t>V-802</t>
  </si>
  <si>
    <t>Mr. Rajendra Rawat</t>
  </si>
  <si>
    <t>V-803</t>
  </si>
  <si>
    <t>V-804</t>
  </si>
  <si>
    <t>Mrs. Seema Miglani</t>
  </si>
  <si>
    <t>V-805</t>
  </si>
  <si>
    <t>Mrs. Ritu</t>
  </si>
  <si>
    <t>V-806</t>
  </si>
  <si>
    <t>Mrs. Shephali Srivastava</t>
  </si>
  <si>
    <t>V-807</t>
  </si>
  <si>
    <t>Mrs. Manju Rani Sharma</t>
  </si>
  <si>
    <t>V-808</t>
  </si>
  <si>
    <t>Mr. Narayan Dhar Dubey</t>
  </si>
  <si>
    <t>V-901</t>
  </si>
  <si>
    <t>Mrs. Sharada</t>
  </si>
  <si>
    <t>V-902</t>
  </si>
  <si>
    <t>V-903</t>
  </si>
  <si>
    <t>Mr. Shubham Tripathi</t>
  </si>
  <si>
    <t>V-904</t>
  </si>
  <si>
    <t>Mrs. Lalita Choudhary</t>
  </si>
  <si>
    <t>V-905</t>
  </si>
  <si>
    <t>V-906</t>
  </si>
  <si>
    <t>Ms. Isha Gupta</t>
  </si>
  <si>
    <t>V-907</t>
  </si>
  <si>
    <t>Mr. Hatim Ansari</t>
  </si>
  <si>
    <t>V-908</t>
  </si>
  <si>
    <t>Mr. Sushant Shukla</t>
  </si>
  <si>
    <t>V-1001</t>
  </si>
  <si>
    <t>V-1002</t>
  </si>
  <si>
    <t>Mr. Shiv Kumar Goel</t>
  </si>
  <si>
    <t>V-1003</t>
  </si>
  <si>
    <t>Mr. Lokesh Pandey</t>
  </si>
  <si>
    <t>V-1004</t>
  </si>
  <si>
    <t>Mrs. Anupriya Maheshwari</t>
  </si>
  <si>
    <t>V-1005</t>
  </si>
  <si>
    <t>V-1006</t>
  </si>
  <si>
    <t>V-1007</t>
  </si>
  <si>
    <t>Mr. Rahul Singh</t>
  </si>
  <si>
    <t>V-1008</t>
  </si>
  <si>
    <t>Mr. Navil Ahamad</t>
  </si>
  <si>
    <t>V-1101</t>
  </si>
  <si>
    <t>Mr. Nitin Pancholi</t>
  </si>
  <si>
    <t>V-1102</t>
  </si>
  <si>
    <t>V-1103</t>
  </si>
  <si>
    <t>Mr. Mohit Khanna</t>
  </si>
  <si>
    <t>V-1104</t>
  </si>
  <si>
    <t>V-1105</t>
  </si>
  <si>
    <t>V-1106</t>
  </si>
  <si>
    <t>Mr. Shikher Srivastava</t>
  </si>
  <si>
    <t>V-1107</t>
  </si>
  <si>
    <t>Mr. Bhule Singh</t>
  </si>
  <si>
    <t>V-1108</t>
  </si>
  <si>
    <t>Mr. Garvit Pahwa</t>
  </si>
  <si>
    <t>TWELFTH</t>
  </si>
  <si>
    <t>V-1201</t>
  </si>
  <si>
    <t>V-1202</t>
  </si>
  <si>
    <t>V-1203</t>
  </si>
  <si>
    <t>Mr. Yatin Garg</t>
  </si>
  <si>
    <t>V-1204</t>
  </si>
  <si>
    <t>Mr. Kamaksya Prasad Ojha</t>
  </si>
  <si>
    <t>V-1205</t>
  </si>
  <si>
    <t>V-1206</t>
  </si>
  <si>
    <t>Mr. Pranay Rathore</t>
  </si>
  <si>
    <t>V-1207</t>
  </si>
  <si>
    <t>V-1208</t>
  </si>
  <si>
    <t>Mr. Kamlesh Singh Miyan</t>
  </si>
  <si>
    <t>V-12A-01</t>
  </si>
  <si>
    <t>Mr. Manjit Singh Kanwar</t>
  </si>
  <si>
    <t>V-12A-02</t>
  </si>
  <si>
    <t>V-12A-03</t>
  </si>
  <si>
    <t>Mr. Krishna Kumar Nayak</t>
  </si>
  <si>
    <t>V-12A-04</t>
  </si>
  <si>
    <t>M/S. Sahil Interior</t>
  </si>
  <si>
    <t>V-12A-05</t>
  </si>
  <si>
    <t>V-12A-06</t>
  </si>
  <si>
    <t>Mr. Sanjeev Patel</t>
  </si>
  <si>
    <t>V-12A-07</t>
  </si>
  <si>
    <t>Mr. Uma Kant Pandey</t>
  </si>
  <si>
    <t>V-12A-08</t>
  </si>
  <si>
    <t>Mr. Siddharth Mishra</t>
  </si>
  <si>
    <t>V-1401</t>
  </si>
  <si>
    <t>Mr. Ashirwad Shrivastava</t>
  </si>
  <si>
    <t>V-1402</t>
  </si>
  <si>
    <t>Mr. Asheesh Kumar Mishra</t>
  </si>
  <si>
    <t>V-1403</t>
  </si>
  <si>
    <t>V-1404</t>
  </si>
  <si>
    <t>V-1405</t>
  </si>
  <si>
    <t>V-1406</t>
  </si>
  <si>
    <t>V-1407</t>
  </si>
  <si>
    <t>V-1408</t>
  </si>
  <si>
    <t>TOTAL</t>
  </si>
  <si>
    <t>MAY JUNE DUE</t>
  </si>
  <si>
    <t>TOWER-A (ELECTRICITY-OASIS VENETIA HEIGHTS)-HANDOVER FLATS</t>
  </si>
  <si>
    <t>Previous Dues Till June-26</t>
  </si>
  <si>
    <t>Meter No.</t>
  </si>
  <si>
    <t>July-2026 Meter Reading</t>
  </si>
  <si>
    <t>SANCTION LOAD</t>
  </si>
  <si>
    <t>DG FIXED CHARGE</t>
  </si>
  <si>
    <t>PER UNIT RATE</t>
  </si>
  <si>
    <t>A-803</t>
  </si>
  <si>
    <t>TOWER-B (ELECTRICITY-OASIS VENETIA HEIGHTS)-HANDOVER FLATS</t>
  </si>
  <si>
    <t>Mrs. Saroj</t>
  </si>
  <si>
    <t>Mr. Amit Jyot Singh</t>
  </si>
  <si>
    <t>Mr. Karan Vaswani</t>
  </si>
  <si>
    <t>Mr. S K Mittal</t>
  </si>
  <si>
    <t>TOWER-C (ELECTRICITY-OASIS VENETIA HEIGHTS)-HANDOVER FLATS</t>
  </si>
  <si>
    <t>Mohd. Habib</t>
  </si>
  <si>
    <t>Mr. Rashmi Patoo</t>
  </si>
  <si>
    <t>Mrs. Chhaya Gupta</t>
  </si>
  <si>
    <t>Mr. Joginder Singh Bhati</t>
  </si>
  <si>
    <t>C-1701</t>
  </si>
  <si>
    <t>TOWER-VAULT (ELECTRICITY-OASIS VENETIA HEIGHTS) HANDOVER FLATS</t>
  </si>
  <si>
    <t>V-306</t>
  </si>
  <si>
    <t>TOWER-VAULT COMMERCIAL (ELECTRICITY-OASIS VENETIA HEIGHTS)-HANDOVER SHOPS</t>
  </si>
  <si>
    <t>Plaza</t>
  </si>
  <si>
    <t>Ground</t>
  </si>
  <si>
    <t>SHOP 1</t>
  </si>
  <si>
    <t>Mrs. Tajinder kaur</t>
  </si>
  <si>
    <t>Shop 129 Sq.Ft</t>
  </si>
  <si>
    <t>SHOP 2</t>
  </si>
  <si>
    <t>Mr. Tanjeet Singh</t>
  </si>
  <si>
    <t>Shop 125 Sq.Ft</t>
  </si>
  <si>
    <t>SHOP 3</t>
  </si>
  <si>
    <t>Mr. Dushyant Malik</t>
  </si>
  <si>
    <t>Shop 290 Sq.Ft</t>
  </si>
  <si>
    <t>SHOP 4</t>
  </si>
  <si>
    <t>Mr. Mohammad Zakir</t>
  </si>
  <si>
    <t>Shop 393 Sq.Ft</t>
  </si>
  <si>
    <t>SHOP 6</t>
  </si>
  <si>
    <t>SHOP 10</t>
  </si>
  <si>
    <t>Mr. Vikas Mittal</t>
  </si>
  <si>
    <t>Shop 390 Sq.Ft</t>
  </si>
  <si>
    <t>SHOP 12</t>
  </si>
  <si>
    <t>Mr. Pushpendra Singh</t>
  </si>
  <si>
    <t>Shop 341 Sq.Ft</t>
  </si>
  <si>
    <t>SHOP 14</t>
  </si>
  <si>
    <t>Mr. Dhan Prakash Sharma</t>
  </si>
  <si>
    <t>Shop 365 Sq.Ft</t>
  </si>
  <si>
    <t>TOWER-A STATUS 15-07-26</t>
  </si>
  <si>
    <t>Tower</t>
  </si>
  <si>
    <t>Flat Number</t>
  </si>
  <si>
    <t>Status</t>
  </si>
  <si>
    <t>T - A</t>
  </si>
  <si>
    <t>To Be Handed Over</t>
  </si>
  <si>
    <t>Unsold</t>
  </si>
  <si>
    <t>TOWER-B STATUS 15-07-26</t>
  </si>
  <si>
    <t>T - B</t>
  </si>
  <si>
    <t>12A-08</t>
  </si>
  <si>
    <t>TOWER-C STATUS 15-07-26</t>
  </si>
  <si>
    <t>T - C</t>
  </si>
  <si>
    <t>TOWER-VAULT STATUS 15-07-26</t>
  </si>
  <si>
    <t>T - Vault</t>
  </si>
  <si>
    <t>12A-02</t>
  </si>
  <si>
    <t>12A-05</t>
  </si>
  <si>
    <t>Property Handover &amp; Inventory Dashboard</t>
  </si>
  <si>
    <t>Flats To Be Handed Over</t>
  </si>
  <si>
    <t>Unsold Flats</t>
  </si>
  <si>
    <t>Total Inventory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</si>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</sst>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</font>
    <font>
      <sz val="10"/>
      <name val="Arial"/>
    </font>
    <font>
      <sz val="10"/>
      <color rgb="FF000000"/>
      <name val="Arial"/>
    </font>
    <font>
      <b/>
      <sz val="11"/>
      <color rgb="FFFFFFFF"/>
      <name val="&quot;Segoe UI&quot;"/>
    </font>
    <font>
      <sz val="11"/>
      <color theme="1"/>
      <name val="&quot;Segoe UI&quot;"/>
    </font>
    <font>
      <b/>
      <sz val="16"/>
      <color rgb="FF1B365D"/>
      <name val="&quot;Segoe UI&quot;"/>
    </font>
    <font>
      <b/>
      <sz val="11"/>
      <color theme="1"/>
      <name val="&quot;Segoe UI&quot;"/>
    </font>
  </fonts>
  <fills count="9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6" borderId="1" xfId="0" applyFont="1" applyFill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8" borderId="1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0" fontId="3" fillId="0" borderId="0" xfId="0" applyFont="1"/>
    <xf numFmtId="0" fontId="9" fillId="7" borderId="0" xfId="0" applyFont="1" applyFill="1" applyAlignment="1">
      <alignment horizontal="center"/>
    </xf>
    <xf numFmtId="0" fontId="12" fillId="0" borderId="3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2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/>
    <xf numFmtId="0" fontId="1" fillId="0" borderId="2" xfId="0" applyFont="1" applyBorder="1" applyAlignment="1">
      <alignment horizontal="center"/>
    </xf>
    <xf numFmtId="0" fontId="1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M975"/>
  <sheetViews>
    <sheetView tabSelected="1" workbookViewId="0">
      <pane ySplit="1" topLeftCell="A2" activePane="bottomLeft" state="frozen"/>
      <selection pane="bottomLeft" activeCell="E1" sqref="E1"/>
    </sheetView>
  </sheetViews>
  <sheetFormatPr defaultColWidth="12.6640625" defaultRowHeight="13.2"/>
  <cols>
    <col min="1" max="1" width="5.5546875" bestFit="1" customWidth="1"/>
    <col min="2" max="2" width="11.6640625" bestFit="1" customWidth="1"/>
    <col min="3" max="3" width="12.88671875" bestFit="1" customWidth="1"/>
    <col min="4" max="4" width="19.5546875" bestFit="1" customWidth="1"/>
    <col min="5" max="6" width="23.44140625" bestFit="1" customWidth="1"/>
    <col min="7" max="7" width="19.88671875" bestFit="1" customWidth="1"/>
    <col min="8" max="8" width="23.44140625" bestFit="1" customWidth="1"/>
    <col min="9" max="9" width="19.33203125" bestFit="1" customWidth="1"/>
    <col min="10" max="10" width="5" bestFit="1" customWidth="1"/>
    <col min="11" max="11" width="14.77734375" bestFit="1" customWidth="1"/>
    <col min="12" max="12" width="17.5546875" bestFit="1" customWidth="1"/>
    <col min="13" max="13" width="17.88671875" bestFit="1" customWidth="1"/>
    <col min="14" max="14" width="14.44140625" bestFit="1" customWidth="1"/>
    <col min="15" max="15" width="17.21875" bestFit="1" customWidth="1"/>
    <col min="16" max="16" width="24.44140625" bestFit="1" customWidth="1"/>
    <col min="17" max="17" width="23.109375" bestFit="1" customWidth="1"/>
    <col min="18" max="18" width="33.33203125" bestFit="1" customWidth="1"/>
    <col min="19" max="19" width="8.88671875" bestFit="1" customWidth="1"/>
    <col min="20" max="20" width="28.77734375" bestFit="1" customWidth="1"/>
  </cols>
  <sheetData>
    <row r="1" spans="1:39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ht="14.4">
      <c r="A2" s="3">
        <v>1</v>
      </c>
      <c r="B2" s="4" t="s">
        <v>20</v>
      </c>
      <c r="C2" s="4" t="s">
        <v>21</v>
      </c>
      <c r="D2" s="4" t="s">
        <v>22</v>
      </c>
      <c r="E2" s="5">
        <f t="shared" ref="E2:E17" si="0">J2</f>
        <v>0</v>
      </c>
      <c r="F2" s="6">
        <v>15314</v>
      </c>
      <c r="G2" s="7">
        <v>0</v>
      </c>
      <c r="H2" s="6">
        <v>15703</v>
      </c>
      <c r="I2" s="7">
        <f t="shared" ref="I2:I10" si="1">H2-F2</f>
        <v>389</v>
      </c>
      <c r="J2" s="5">
        <v>0</v>
      </c>
      <c r="K2" s="6" t="s">
        <v>23</v>
      </c>
      <c r="L2" s="8">
        <v>0</v>
      </c>
      <c r="M2" s="8">
        <f t="shared" ref="M2:M53" si="2">I2*Q2+P2+O2*115</f>
        <v>3383</v>
      </c>
      <c r="N2" s="4" t="s">
        <v>24</v>
      </c>
      <c r="O2" s="6">
        <v>4</v>
      </c>
      <c r="P2" s="6">
        <v>200</v>
      </c>
      <c r="Q2" s="6">
        <v>7</v>
      </c>
      <c r="R2" s="4" t="s">
        <v>25</v>
      </c>
      <c r="S2" s="3">
        <v>1150</v>
      </c>
      <c r="T2" s="4" t="s">
        <v>26</v>
      </c>
    </row>
    <row r="3" spans="1:39" ht="14.4">
      <c r="A3" s="3">
        <v>2</v>
      </c>
      <c r="B3" s="4" t="s">
        <v>20</v>
      </c>
      <c r="C3" s="4" t="s">
        <v>21</v>
      </c>
      <c r="D3" s="4" t="s">
        <v>27</v>
      </c>
      <c r="E3" s="6">
        <f t="shared" si="0"/>
        <v>0</v>
      </c>
      <c r="F3" s="6">
        <v>13645</v>
      </c>
      <c r="G3" s="7">
        <v>0</v>
      </c>
      <c r="H3" s="6">
        <v>14620</v>
      </c>
      <c r="I3" s="7">
        <f t="shared" si="1"/>
        <v>975</v>
      </c>
      <c r="J3" s="6">
        <v>0</v>
      </c>
      <c r="K3" s="6">
        <v>0</v>
      </c>
      <c r="L3" s="8">
        <v>0</v>
      </c>
      <c r="M3" s="8">
        <f t="shared" si="2"/>
        <v>7485</v>
      </c>
      <c r="N3" s="4" t="s">
        <v>24</v>
      </c>
      <c r="O3" s="6">
        <v>4</v>
      </c>
      <c r="P3" s="6">
        <v>200</v>
      </c>
      <c r="Q3" s="6">
        <v>7</v>
      </c>
      <c r="R3" s="4" t="s">
        <v>28</v>
      </c>
      <c r="S3" s="3">
        <v>1150</v>
      </c>
      <c r="T3" s="4" t="s">
        <v>26</v>
      </c>
    </row>
    <row r="4" spans="1:39" ht="14.4">
      <c r="A4" s="3">
        <v>3</v>
      </c>
      <c r="B4" s="4" t="s">
        <v>20</v>
      </c>
      <c r="C4" s="4" t="s">
        <v>21</v>
      </c>
      <c r="D4" s="4" t="s">
        <v>29</v>
      </c>
      <c r="E4" s="6">
        <f t="shared" si="0"/>
        <v>0</v>
      </c>
      <c r="F4" s="6">
        <v>1748</v>
      </c>
      <c r="G4" s="7">
        <v>0</v>
      </c>
      <c r="H4" s="6">
        <v>1987</v>
      </c>
      <c r="I4" s="7">
        <f t="shared" si="1"/>
        <v>239</v>
      </c>
      <c r="J4" s="6">
        <v>0</v>
      </c>
      <c r="K4" s="6" t="s">
        <v>23</v>
      </c>
      <c r="L4" s="8">
        <v>0</v>
      </c>
      <c r="M4" s="8">
        <f t="shared" si="2"/>
        <v>2333</v>
      </c>
      <c r="N4" s="4" t="s">
        <v>24</v>
      </c>
      <c r="O4" s="6">
        <v>4</v>
      </c>
      <c r="P4" s="6">
        <v>200</v>
      </c>
      <c r="Q4" s="6">
        <v>7</v>
      </c>
      <c r="R4" s="4" t="s">
        <v>30</v>
      </c>
      <c r="S4" s="3">
        <v>1150</v>
      </c>
      <c r="T4" s="4" t="s">
        <v>26</v>
      </c>
    </row>
    <row r="5" spans="1:39" ht="14.4">
      <c r="A5" s="3">
        <v>4</v>
      </c>
      <c r="B5" s="4" t="s">
        <v>20</v>
      </c>
      <c r="C5" s="4" t="s">
        <v>21</v>
      </c>
      <c r="D5" s="4" t="s">
        <v>31</v>
      </c>
      <c r="E5" s="6">
        <f t="shared" si="0"/>
        <v>0</v>
      </c>
      <c r="F5" s="6">
        <v>8339</v>
      </c>
      <c r="G5" s="7">
        <v>0</v>
      </c>
      <c r="H5" s="6">
        <v>8759</v>
      </c>
      <c r="I5" s="7">
        <f t="shared" si="1"/>
        <v>420</v>
      </c>
      <c r="J5" s="6">
        <v>0</v>
      </c>
      <c r="K5" s="6" t="s">
        <v>23</v>
      </c>
      <c r="L5" s="8">
        <v>0</v>
      </c>
      <c r="M5" s="8">
        <f t="shared" si="2"/>
        <v>3600</v>
      </c>
      <c r="N5" s="4" t="s">
        <v>24</v>
      </c>
      <c r="O5" s="6">
        <v>4</v>
      </c>
      <c r="P5" s="6">
        <v>200</v>
      </c>
      <c r="Q5" s="6">
        <v>7</v>
      </c>
      <c r="R5" s="4" t="s">
        <v>32</v>
      </c>
      <c r="S5" s="3">
        <v>1150</v>
      </c>
      <c r="T5" s="4" t="s">
        <v>26</v>
      </c>
    </row>
    <row r="6" spans="1:39" ht="14.4">
      <c r="A6" s="3">
        <v>5</v>
      </c>
      <c r="B6" s="4" t="s">
        <v>20</v>
      </c>
      <c r="C6" s="4" t="s">
        <v>33</v>
      </c>
      <c r="D6" s="4" t="s">
        <v>34</v>
      </c>
      <c r="E6" s="6">
        <f t="shared" si="0"/>
        <v>0</v>
      </c>
      <c r="F6" s="6">
        <v>16609</v>
      </c>
      <c r="G6" s="7">
        <v>0</v>
      </c>
      <c r="H6" s="6">
        <v>16997</v>
      </c>
      <c r="I6" s="7">
        <f t="shared" si="1"/>
        <v>388</v>
      </c>
      <c r="J6" s="6">
        <v>0</v>
      </c>
      <c r="K6" s="6" t="s">
        <v>23</v>
      </c>
      <c r="L6" s="8">
        <v>0</v>
      </c>
      <c r="M6" s="8">
        <f t="shared" si="2"/>
        <v>3376</v>
      </c>
      <c r="N6" s="4" t="s">
        <v>24</v>
      </c>
      <c r="O6" s="6">
        <v>4</v>
      </c>
      <c r="P6" s="6">
        <v>200</v>
      </c>
      <c r="Q6" s="6">
        <v>7</v>
      </c>
      <c r="R6" s="4" t="s">
        <v>35</v>
      </c>
      <c r="S6" s="3">
        <v>1150</v>
      </c>
      <c r="T6" s="4" t="s">
        <v>26</v>
      </c>
    </row>
    <row r="7" spans="1:39" ht="14.4">
      <c r="A7" s="3">
        <v>6</v>
      </c>
      <c r="B7" s="4" t="s">
        <v>20</v>
      </c>
      <c r="C7" s="4" t="s">
        <v>33</v>
      </c>
      <c r="D7" s="4" t="s">
        <v>36</v>
      </c>
      <c r="E7" s="6">
        <f t="shared" si="0"/>
        <v>0</v>
      </c>
      <c r="F7" s="6">
        <v>26672</v>
      </c>
      <c r="G7" s="7">
        <v>0</v>
      </c>
      <c r="H7" s="6">
        <v>27047</v>
      </c>
      <c r="I7" s="7">
        <f t="shared" si="1"/>
        <v>375</v>
      </c>
      <c r="J7" s="6">
        <v>0</v>
      </c>
      <c r="K7" s="6" t="s">
        <v>23</v>
      </c>
      <c r="L7" s="8">
        <v>0</v>
      </c>
      <c r="M7" s="8">
        <f t="shared" si="2"/>
        <v>3285</v>
      </c>
      <c r="N7" s="4" t="s">
        <v>24</v>
      </c>
      <c r="O7" s="6">
        <v>4</v>
      </c>
      <c r="P7" s="6">
        <v>200</v>
      </c>
      <c r="Q7" s="6">
        <v>7</v>
      </c>
      <c r="R7" s="4" t="s">
        <v>37</v>
      </c>
      <c r="S7" s="3">
        <v>1150</v>
      </c>
      <c r="T7" s="4" t="s">
        <v>26</v>
      </c>
    </row>
    <row r="8" spans="1:39" ht="14.4">
      <c r="A8" s="3">
        <v>7</v>
      </c>
      <c r="B8" s="4" t="s">
        <v>20</v>
      </c>
      <c r="C8" s="4" t="s">
        <v>33</v>
      </c>
      <c r="D8" s="4" t="s">
        <v>38</v>
      </c>
      <c r="E8" s="6">
        <f t="shared" si="0"/>
        <v>0</v>
      </c>
      <c r="F8" s="6">
        <v>16089</v>
      </c>
      <c r="G8" s="7">
        <v>0</v>
      </c>
      <c r="H8" s="6">
        <v>16285</v>
      </c>
      <c r="I8" s="7">
        <f t="shared" si="1"/>
        <v>196</v>
      </c>
      <c r="J8" s="6">
        <v>0</v>
      </c>
      <c r="K8" s="6" t="s">
        <v>23</v>
      </c>
      <c r="L8" s="8">
        <v>0</v>
      </c>
      <c r="M8" s="8">
        <f t="shared" si="2"/>
        <v>2032</v>
      </c>
      <c r="N8" s="4" t="s">
        <v>24</v>
      </c>
      <c r="O8" s="6">
        <v>4</v>
      </c>
      <c r="P8" s="6">
        <v>200</v>
      </c>
      <c r="Q8" s="6">
        <v>7</v>
      </c>
      <c r="R8" s="4" t="s">
        <v>39</v>
      </c>
      <c r="S8" s="3">
        <v>1150</v>
      </c>
      <c r="T8" s="4" t="s">
        <v>26</v>
      </c>
    </row>
    <row r="9" spans="1:39" ht="14.4">
      <c r="A9" s="3">
        <v>8</v>
      </c>
      <c r="B9" s="4" t="s">
        <v>20</v>
      </c>
      <c r="C9" s="4" t="s">
        <v>33</v>
      </c>
      <c r="D9" s="4" t="s">
        <v>40</v>
      </c>
      <c r="E9" s="6">
        <f t="shared" si="0"/>
        <v>0</v>
      </c>
      <c r="F9" s="6">
        <v>0</v>
      </c>
      <c r="G9" s="7">
        <v>0</v>
      </c>
      <c r="H9" s="6">
        <v>103</v>
      </c>
      <c r="I9" s="7">
        <f t="shared" si="1"/>
        <v>103</v>
      </c>
      <c r="J9" s="6">
        <v>0</v>
      </c>
      <c r="K9" s="6">
        <v>0</v>
      </c>
      <c r="L9" s="8">
        <v>0</v>
      </c>
      <c r="M9" s="8">
        <f t="shared" si="2"/>
        <v>1381</v>
      </c>
      <c r="N9" s="4" t="s">
        <v>24</v>
      </c>
      <c r="O9" s="6">
        <v>4</v>
      </c>
      <c r="P9" s="6">
        <v>200</v>
      </c>
      <c r="Q9" s="6">
        <v>7</v>
      </c>
      <c r="R9" s="4" t="s">
        <v>41</v>
      </c>
      <c r="S9" s="3">
        <v>1150</v>
      </c>
      <c r="T9" s="4" t="s">
        <v>26</v>
      </c>
    </row>
    <row r="10" spans="1:39" ht="14.4">
      <c r="A10" s="3">
        <v>9</v>
      </c>
      <c r="B10" s="4" t="s">
        <v>20</v>
      </c>
      <c r="C10" s="4" t="s">
        <v>42</v>
      </c>
      <c r="D10" s="4" t="s">
        <v>43</v>
      </c>
      <c r="E10" s="6">
        <f t="shared" si="0"/>
        <v>0</v>
      </c>
      <c r="F10" s="6">
        <v>10081</v>
      </c>
      <c r="G10" s="7">
        <v>0</v>
      </c>
      <c r="H10" s="6">
        <v>10452</v>
      </c>
      <c r="I10" s="7">
        <f t="shared" si="1"/>
        <v>371</v>
      </c>
      <c r="J10" s="6">
        <v>0</v>
      </c>
      <c r="K10" s="6" t="s">
        <v>23</v>
      </c>
      <c r="L10" s="8">
        <v>0</v>
      </c>
      <c r="M10" s="8">
        <f t="shared" si="2"/>
        <v>3257</v>
      </c>
      <c r="N10" s="4" t="s">
        <v>24</v>
      </c>
      <c r="O10" s="6">
        <v>4</v>
      </c>
      <c r="P10" s="6">
        <v>200</v>
      </c>
      <c r="Q10" s="6">
        <v>7</v>
      </c>
      <c r="R10" s="4" t="s">
        <v>44</v>
      </c>
      <c r="S10" s="3">
        <v>1150</v>
      </c>
      <c r="T10" s="4" t="s">
        <v>26</v>
      </c>
    </row>
    <row r="11" spans="1:39" ht="14.4">
      <c r="A11" s="3">
        <v>10</v>
      </c>
      <c r="B11" s="4" t="s">
        <v>20</v>
      </c>
      <c r="C11" s="4" t="s">
        <v>42</v>
      </c>
      <c r="D11" s="4" t="s">
        <v>45</v>
      </c>
      <c r="E11" s="6">
        <f t="shared" si="0"/>
        <v>0</v>
      </c>
      <c r="F11" s="6">
        <v>5689</v>
      </c>
      <c r="G11" s="7">
        <v>0</v>
      </c>
      <c r="H11" s="6">
        <v>4800</v>
      </c>
      <c r="I11" s="7">
        <v>0</v>
      </c>
      <c r="J11" s="6">
        <v>0</v>
      </c>
      <c r="K11" s="6" t="s">
        <v>23</v>
      </c>
      <c r="L11" s="8">
        <v>0</v>
      </c>
      <c r="M11" s="8">
        <f t="shared" si="2"/>
        <v>660</v>
      </c>
      <c r="N11" s="4" t="s">
        <v>24</v>
      </c>
      <c r="O11" s="6">
        <v>4</v>
      </c>
      <c r="P11" s="6">
        <v>200</v>
      </c>
      <c r="Q11" s="6">
        <v>7</v>
      </c>
      <c r="R11" s="4" t="s">
        <v>46</v>
      </c>
      <c r="S11" s="3">
        <v>1150</v>
      </c>
      <c r="T11" s="4" t="s">
        <v>26</v>
      </c>
    </row>
    <row r="12" spans="1:39" ht="14.4">
      <c r="A12" s="3">
        <v>11</v>
      </c>
      <c r="B12" s="4" t="s">
        <v>20</v>
      </c>
      <c r="C12" s="4" t="s">
        <v>42</v>
      </c>
      <c r="D12" s="4" t="s">
        <v>47</v>
      </c>
      <c r="E12" s="6">
        <f t="shared" si="0"/>
        <v>0</v>
      </c>
      <c r="F12" s="6">
        <v>4375</v>
      </c>
      <c r="G12" s="7">
        <v>0</v>
      </c>
      <c r="H12" s="6">
        <v>4693</v>
      </c>
      <c r="I12" s="7">
        <f>H12-F12</f>
        <v>318</v>
      </c>
      <c r="J12" s="6">
        <v>0</v>
      </c>
      <c r="K12" s="6" t="s">
        <v>23</v>
      </c>
      <c r="L12" s="8">
        <v>0</v>
      </c>
      <c r="M12" s="8">
        <f t="shared" si="2"/>
        <v>2886</v>
      </c>
      <c r="N12" s="4" t="s">
        <v>24</v>
      </c>
      <c r="O12" s="6">
        <v>4</v>
      </c>
      <c r="P12" s="6">
        <v>200</v>
      </c>
      <c r="Q12" s="6">
        <v>7</v>
      </c>
      <c r="R12" s="4" t="s">
        <v>48</v>
      </c>
      <c r="S12" s="3">
        <v>1150</v>
      </c>
      <c r="T12" s="4" t="s">
        <v>26</v>
      </c>
    </row>
    <row r="13" spans="1:39" ht="14.4">
      <c r="A13" s="3">
        <v>12</v>
      </c>
      <c r="B13" s="4" t="s">
        <v>20</v>
      </c>
      <c r="C13" s="4" t="s">
        <v>42</v>
      </c>
      <c r="D13" s="4" t="s">
        <v>49</v>
      </c>
      <c r="E13" s="6">
        <f t="shared" si="0"/>
        <v>0</v>
      </c>
      <c r="F13" s="6">
        <v>0</v>
      </c>
      <c r="G13" s="7">
        <v>0</v>
      </c>
      <c r="H13" s="6">
        <v>17009</v>
      </c>
      <c r="I13" s="7">
        <v>0</v>
      </c>
      <c r="J13" s="6">
        <v>0</v>
      </c>
      <c r="K13" s="6">
        <v>0</v>
      </c>
      <c r="L13" s="8">
        <v>0</v>
      </c>
      <c r="M13" s="8">
        <f t="shared" si="2"/>
        <v>660</v>
      </c>
      <c r="N13" s="4" t="s">
        <v>24</v>
      </c>
      <c r="O13" s="6">
        <v>4</v>
      </c>
      <c r="P13" s="6">
        <v>200</v>
      </c>
      <c r="Q13" s="6">
        <v>7</v>
      </c>
      <c r="R13" s="4" t="s">
        <v>50</v>
      </c>
      <c r="S13" s="3">
        <v>1150</v>
      </c>
      <c r="T13" s="4" t="s">
        <v>26</v>
      </c>
    </row>
    <row r="14" spans="1:39" ht="14.4">
      <c r="A14" s="3">
        <v>13</v>
      </c>
      <c r="B14" s="4" t="s">
        <v>20</v>
      </c>
      <c r="C14" s="4" t="s">
        <v>51</v>
      </c>
      <c r="D14" s="4" t="s">
        <v>52</v>
      </c>
      <c r="E14" s="6">
        <f t="shared" si="0"/>
        <v>0</v>
      </c>
      <c r="F14" s="6">
        <v>24356</v>
      </c>
      <c r="G14" s="7">
        <v>0</v>
      </c>
      <c r="H14" s="6">
        <v>24816</v>
      </c>
      <c r="I14" s="7">
        <f t="shared" ref="I14:I16" si="3">H14-F14</f>
        <v>460</v>
      </c>
      <c r="J14" s="6">
        <v>0</v>
      </c>
      <c r="K14" s="6" t="s">
        <v>23</v>
      </c>
      <c r="L14" s="8">
        <v>0</v>
      </c>
      <c r="M14" s="8">
        <f t="shared" si="2"/>
        <v>3880</v>
      </c>
      <c r="N14" s="4" t="s">
        <v>24</v>
      </c>
      <c r="O14" s="6">
        <v>4</v>
      </c>
      <c r="P14" s="6">
        <v>200</v>
      </c>
      <c r="Q14" s="6">
        <v>7</v>
      </c>
      <c r="R14" s="4" t="s">
        <v>53</v>
      </c>
      <c r="S14" s="3">
        <v>1150</v>
      </c>
      <c r="T14" s="4" t="s">
        <v>26</v>
      </c>
    </row>
    <row r="15" spans="1:39" ht="14.4">
      <c r="A15" s="3">
        <v>14</v>
      </c>
      <c r="B15" s="4" t="s">
        <v>20</v>
      </c>
      <c r="C15" s="4" t="s">
        <v>51</v>
      </c>
      <c r="D15" s="4" t="s">
        <v>54</v>
      </c>
      <c r="E15" s="6">
        <f t="shared" si="0"/>
        <v>0</v>
      </c>
      <c r="F15" s="6">
        <v>10415</v>
      </c>
      <c r="G15" s="7">
        <v>0</v>
      </c>
      <c r="H15" s="6">
        <v>10887</v>
      </c>
      <c r="I15" s="7">
        <f t="shared" si="3"/>
        <v>472</v>
      </c>
      <c r="J15" s="6">
        <v>0</v>
      </c>
      <c r="K15" s="6" t="s">
        <v>23</v>
      </c>
      <c r="L15" s="8">
        <v>0</v>
      </c>
      <c r="M15" s="8">
        <f t="shared" si="2"/>
        <v>3964</v>
      </c>
      <c r="N15" s="4" t="s">
        <v>24</v>
      </c>
      <c r="O15" s="6">
        <v>4</v>
      </c>
      <c r="P15" s="6">
        <v>200</v>
      </c>
      <c r="Q15" s="6">
        <v>7</v>
      </c>
      <c r="R15" s="4" t="s">
        <v>55</v>
      </c>
      <c r="S15" s="3">
        <v>1150</v>
      </c>
      <c r="T15" s="4" t="s">
        <v>26</v>
      </c>
    </row>
    <row r="16" spans="1:39" ht="14.4">
      <c r="A16" s="3">
        <v>15</v>
      </c>
      <c r="B16" s="4" t="s">
        <v>20</v>
      </c>
      <c r="C16" s="4" t="s">
        <v>51</v>
      </c>
      <c r="D16" s="4" t="s">
        <v>56</v>
      </c>
      <c r="E16" s="6">
        <f t="shared" si="0"/>
        <v>0</v>
      </c>
      <c r="F16" s="6">
        <v>4827</v>
      </c>
      <c r="G16" s="7">
        <v>0</v>
      </c>
      <c r="H16" s="6">
        <v>4978</v>
      </c>
      <c r="I16" s="7">
        <f t="shared" si="3"/>
        <v>151</v>
      </c>
      <c r="J16" s="6">
        <v>0</v>
      </c>
      <c r="K16" s="6" t="s">
        <v>23</v>
      </c>
      <c r="L16" s="8">
        <v>0</v>
      </c>
      <c r="M16" s="8">
        <f t="shared" si="2"/>
        <v>1717</v>
      </c>
      <c r="N16" s="4" t="s">
        <v>24</v>
      </c>
      <c r="O16" s="6">
        <v>4</v>
      </c>
      <c r="P16" s="6">
        <v>200</v>
      </c>
      <c r="Q16" s="6">
        <v>7</v>
      </c>
      <c r="R16" s="4" t="s">
        <v>57</v>
      </c>
      <c r="S16" s="3">
        <v>1150</v>
      </c>
      <c r="T16" s="4" t="s">
        <v>26</v>
      </c>
    </row>
    <row r="17" spans="1:20" ht="14.4">
      <c r="A17" s="3">
        <v>16</v>
      </c>
      <c r="B17" s="4" t="s">
        <v>20</v>
      </c>
      <c r="C17" s="4" t="s">
        <v>51</v>
      </c>
      <c r="D17" s="4" t="s">
        <v>58</v>
      </c>
      <c r="E17" s="6">
        <f t="shared" si="0"/>
        <v>0</v>
      </c>
      <c r="F17" s="6">
        <v>16464</v>
      </c>
      <c r="G17" s="7">
        <v>0</v>
      </c>
      <c r="H17" s="6" t="s">
        <v>59</v>
      </c>
      <c r="I17" s="7">
        <v>0</v>
      </c>
      <c r="J17" s="6">
        <v>0</v>
      </c>
      <c r="K17" s="6">
        <v>0</v>
      </c>
      <c r="L17" s="8">
        <v>0</v>
      </c>
      <c r="M17" s="8">
        <f t="shared" si="2"/>
        <v>660</v>
      </c>
      <c r="N17" s="4" t="s">
        <v>24</v>
      </c>
      <c r="O17" s="6">
        <v>4</v>
      </c>
      <c r="P17" s="6">
        <v>200</v>
      </c>
      <c r="Q17" s="6">
        <v>7</v>
      </c>
      <c r="R17" s="4"/>
      <c r="S17" s="3">
        <v>1150</v>
      </c>
      <c r="T17" s="4" t="s">
        <v>26</v>
      </c>
    </row>
    <row r="18" spans="1:20" ht="14.4">
      <c r="A18" s="3">
        <v>17</v>
      </c>
      <c r="B18" s="4" t="s">
        <v>20</v>
      </c>
      <c r="C18" s="4" t="s">
        <v>60</v>
      </c>
      <c r="D18" s="4" t="s">
        <v>61</v>
      </c>
      <c r="E18" s="6">
        <v>17233</v>
      </c>
      <c r="F18" s="6">
        <v>17598</v>
      </c>
      <c r="G18" s="7">
        <f t="shared" ref="G18:G20" si="4">F18-E18</f>
        <v>365</v>
      </c>
      <c r="H18" s="6">
        <v>18140</v>
      </c>
      <c r="I18" s="7">
        <f t="shared" ref="I18:I31" si="5">H18-F18</f>
        <v>542</v>
      </c>
      <c r="J18" s="6" t="s">
        <v>23</v>
      </c>
      <c r="K18" s="6" t="s">
        <v>23</v>
      </c>
      <c r="L18" s="8">
        <f t="shared" ref="L18:L20" si="6">G18*Q18+P18+O18*115</f>
        <v>3215</v>
      </c>
      <c r="M18" s="8">
        <f t="shared" si="2"/>
        <v>4454</v>
      </c>
      <c r="N18" s="4" t="s">
        <v>24</v>
      </c>
      <c r="O18" s="6">
        <v>4</v>
      </c>
      <c r="P18" s="6">
        <v>200</v>
      </c>
      <c r="Q18" s="6">
        <v>7</v>
      </c>
      <c r="R18" s="4" t="s">
        <v>62</v>
      </c>
      <c r="S18" s="3">
        <v>1150</v>
      </c>
      <c r="T18" s="4" t="s">
        <v>26</v>
      </c>
    </row>
    <row r="19" spans="1:20" ht="14.4">
      <c r="A19" s="3">
        <v>18</v>
      </c>
      <c r="B19" s="4" t="s">
        <v>20</v>
      </c>
      <c r="C19" s="4" t="s">
        <v>60</v>
      </c>
      <c r="D19" s="4" t="s">
        <v>63</v>
      </c>
      <c r="E19" s="6">
        <v>12513</v>
      </c>
      <c r="F19" s="6">
        <v>13721</v>
      </c>
      <c r="G19" s="7">
        <f t="shared" si="4"/>
        <v>1208</v>
      </c>
      <c r="H19" s="6">
        <v>15390</v>
      </c>
      <c r="I19" s="7">
        <f t="shared" si="5"/>
        <v>1669</v>
      </c>
      <c r="J19" s="6">
        <v>0</v>
      </c>
      <c r="K19" s="6" t="s">
        <v>23</v>
      </c>
      <c r="L19" s="8">
        <f t="shared" si="6"/>
        <v>9116</v>
      </c>
      <c r="M19" s="8">
        <f t="shared" si="2"/>
        <v>12343</v>
      </c>
      <c r="N19" s="4" t="s">
        <v>24</v>
      </c>
      <c r="O19" s="6">
        <v>4</v>
      </c>
      <c r="P19" s="6">
        <v>200</v>
      </c>
      <c r="Q19" s="6">
        <v>7</v>
      </c>
      <c r="R19" s="4" t="s">
        <v>64</v>
      </c>
      <c r="S19" s="3">
        <v>1150</v>
      </c>
      <c r="T19" s="4" t="s">
        <v>26</v>
      </c>
    </row>
    <row r="20" spans="1:20" ht="14.4">
      <c r="A20" s="3">
        <v>19</v>
      </c>
      <c r="B20" s="4" t="s">
        <v>20</v>
      </c>
      <c r="C20" s="4" t="s">
        <v>60</v>
      </c>
      <c r="D20" s="4" t="s">
        <v>65</v>
      </c>
      <c r="E20" s="6">
        <v>25377</v>
      </c>
      <c r="F20" s="6">
        <v>26052</v>
      </c>
      <c r="G20" s="7">
        <f t="shared" si="4"/>
        <v>675</v>
      </c>
      <c r="H20" s="6">
        <v>26970</v>
      </c>
      <c r="I20" s="7">
        <f t="shared" si="5"/>
        <v>918</v>
      </c>
      <c r="J20" s="6" t="s">
        <v>23</v>
      </c>
      <c r="K20" s="6" t="s">
        <v>23</v>
      </c>
      <c r="L20" s="8">
        <f t="shared" si="6"/>
        <v>5385</v>
      </c>
      <c r="M20" s="8">
        <f t="shared" si="2"/>
        <v>7086</v>
      </c>
      <c r="N20" s="4" t="s">
        <v>24</v>
      </c>
      <c r="O20" s="6">
        <v>4</v>
      </c>
      <c r="P20" s="6">
        <v>200</v>
      </c>
      <c r="Q20" s="6">
        <v>7</v>
      </c>
      <c r="R20" s="4" t="s">
        <v>66</v>
      </c>
      <c r="S20" s="3">
        <v>1150</v>
      </c>
      <c r="T20" s="4" t="s">
        <v>26</v>
      </c>
    </row>
    <row r="21" spans="1:20" ht="14.4">
      <c r="A21" s="3">
        <v>20</v>
      </c>
      <c r="B21" s="4" t="s">
        <v>20</v>
      </c>
      <c r="C21" s="4" t="s">
        <v>60</v>
      </c>
      <c r="D21" s="4" t="s">
        <v>67</v>
      </c>
      <c r="E21" s="6">
        <f t="shared" ref="E21:E28" si="7">J21</f>
        <v>0</v>
      </c>
      <c r="F21" s="6">
        <v>13131</v>
      </c>
      <c r="G21" s="7">
        <v>0</v>
      </c>
      <c r="H21" s="6">
        <v>13449</v>
      </c>
      <c r="I21" s="7">
        <f t="shared" si="5"/>
        <v>318</v>
      </c>
      <c r="J21" s="6">
        <v>0</v>
      </c>
      <c r="K21" s="6" t="s">
        <v>23</v>
      </c>
      <c r="L21" s="8">
        <v>0</v>
      </c>
      <c r="M21" s="8">
        <f t="shared" si="2"/>
        <v>2886</v>
      </c>
      <c r="N21" s="4" t="s">
        <v>24</v>
      </c>
      <c r="O21" s="6">
        <v>4</v>
      </c>
      <c r="P21" s="6">
        <v>200</v>
      </c>
      <c r="Q21" s="6">
        <v>7</v>
      </c>
      <c r="R21" s="4" t="s">
        <v>68</v>
      </c>
      <c r="S21" s="3">
        <v>1150</v>
      </c>
      <c r="T21" s="4" t="s">
        <v>26</v>
      </c>
    </row>
    <row r="22" spans="1:20" ht="14.4">
      <c r="A22" s="3">
        <v>21</v>
      </c>
      <c r="B22" s="4" t="s">
        <v>20</v>
      </c>
      <c r="C22" s="4" t="s">
        <v>69</v>
      </c>
      <c r="D22" s="4" t="s">
        <v>70</v>
      </c>
      <c r="E22" s="6">
        <f t="shared" si="7"/>
        <v>0</v>
      </c>
      <c r="F22" s="6">
        <v>25858</v>
      </c>
      <c r="G22" s="7">
        <v>0</v>
      </c>
      <c r="H22" s="6">
        <v>26399</v>
      </c>
      <c r="I22" s="7">
        <f t="shared" si="5"/>
        <v>541</v>
      </c>
      <c r="J22" s="6">
        <v>0</v>
      </c>
      <c r="K22" s="6" t="s">
        <v>23</v>
      </c>
      <c r="L22" s="8">
        <v>0</v>
      </c>
      <c r="M22" s="8">
        <f t="shared" si="2"/>
        <v>4447</v>
      </c>
      <c r="N22" s="4" t="s">
        <v>24</v>
      </c>
      <c r="O22" s="6">
        <v>4</v>
      </c>
      <c r="P22" s="6">
        <v>200</v>
      </c>
      <c r="Q22" s="6">
        <v>7</v>
      </c>
      <c r="R22" s="4" t="s">
        <v>71</v>
      </c>
      <c r="S22" s="3">
        <v>1150</v>
      </c>
      <c r="T22" s="4" t="s">
        <v>26</v>
      </c>
    </row>
    <row r="23" spans="1:20" ht="14.4">
      <c r="A23" s="3">
        <v>22</v>
      </c>
      <c r="B23" s="4" t="s">
        <v>20</v>
      </c>
      <c r="C23" s="4" t="s">
        <v>69</v>
      </c>
      <c r="D23" s="4" t="s">
        <v>72</v>
      </c>
      <c r="E23" s="6">
        <f t="shared" si="7"/>
        <v>0</v>
      </c>
      <c r="F23" s="6">
        <v>2556</v>
      </c>
      <c r="G23" s="7">
        <v>0</v>
      </c>
      <c r="H23" s="6">
        <v>3006</v>
      </c>
      <c r="I23" s="7">
        <f t="shared" si="5"/>
        <v>450</v>
      </c>
      <c r="J23" s="6">
        <v>0</v>
      </c>
      <c r="K23" s="6" t="s">
        <v>23</v>
      </c>
      <c r="L23" s="8">
        <v>0</v>
      </c>
      <c r="M23" s="8">
        <f t="shared" si="2"/>
        <v>3810</v>
      </c>
      <c r="N23" s="4" t="s">
        <v>24</v>
      </c>
      <c r="O23" s="6">
        <v>4</v>
      </c>
      <c r="P23" s="6">
        <v>200</v>
      </c>
      <c r="Q23" s="6">
        <v>7</v>
      </c>
      <c r="R23" s="4" t="s">
        <v>73</v>
      </c>
      <c r="S23" s="3">
        <v>1150</v>
      </c>
      <c r="T23" s="4" t="s">
        <v>26</v>
      </c>
    </row>
    <row r="24" spans="1:20" ht="14.4">
      <c r="A24" s="3">
        <v>23</v>
      </c>
      <c r="B24" s="4" t="s">
        <v>20</v>
      </c>
      <c r="C24" s="4" t="s">
        <v>69</v>
      </c>
      <c r="D24" s="4" t="s">
        <v>74</v>
      </c>
      <c r="E24" s="6">
        <f t="shared" si="7"/>
        <v>0</v>
      </c>
      <c r="F24" s="6">
        <v>0</v>
      </c>
      <c r="G24" s="7">
        <v>0</v>
      </c>
      <c r="H24" s="6">
        <v>0</v>
      </c>
      <c r="I24" s="7">
        <f t="shared" si="5"/>
        <v>0</v>
      </c>
      <c r="J24" s="6">
        <v>0</v>
      </c>
      <c r="K24" s="6">
        <v>0</v>
      </c>
      <c r="L24" s="8">
        <v>0</v>
      </c>
      <c r="M24" s="8">
        <f t="shared" si="2"/>
        <v>660</v>
      </c>
      <c r="N24" s="4" t="s">
        <v>24</v>
      </c>
      <c r="O24" s="6">
        <v>4</v>
      </c>
      <c r="P24" s="6">
        <v>200</v>
      </c>
      <c r="Q24" s="6">
        <v>7</v>
      </c>
      <c r="R24" s="4"/>
      <c r="S24" s="3">
        <v>1150</v>
      </c>
      <c r="T24" s="4" t="s">
        <v>26</v>
      </c>
    </row>
    <row r="25" spans="1:20" ht="14.4">
      <c r="A25" s="3">
        <v>24</v>
      </c>
      <c r="B25" s="4" t="s">
        <v>20</v>
      </c>
      <c r="C25" s="4" t="s">
        <v>69</v>
      </c>
      <c r="D25" s="4" t="s">
        <v>75</v>
      </c>
      <c r="E25" s="6">
        <f t="shared" si="7"/>
        <v>0</v>
      </c>
      <c r="F25" s="6">
        <v>11561</v>
      </c>
      <c r="G25" s="7">
        <v>0</v>
      </c>
      <c r="H25" s="6">
        <v>11624</v>
      </c>
      <c r="I25" s="7">
        <f t="shared" si="5"/>
        <v>63</v>
      </c>
      <c r="J25" s="6">
        <v>0</v>
      </c>
      <c r="K25" s="6">
        <v>0</v>
      </c>
      <c r="L25" s="8">
        <v>0</v>
      </c>
      <c r="M25" s="8">
        <f t="shared" si="2"/>
        <v>1101</v>
      </c>
      <c r="N25" s="4" t="s">
        <v>24</v>
      </c>
      <c r="O25" s="6">
        <v>4</v>
      </c>
      <c r="P25" s="6">
        <v>200</v>
      </c>
      <c r="Q25" s="6">
        <v>7</v>
      </c>
      <c r="R25" s="4" t="s">
        <v>76</v>
      </c>
      <c r="S25" s="3">
        <v>1150</v>
      </c>
      <c r="T25" s="4" t="s">
        <v>26</v>
      </c>
    </row>
    <row r="26" spans="1:20" ht="14.4">
      <c r="A26" s="3">
        <v>25</v>
      </c>
      <c r="B26" s="4" t="s">
        <v>20</v>
      </c>
      <c r="C26" s="4" t="s">
        <v>77</v>
      </c>
      <c r="D26" s="4" t="s">
        <v>78</v>
      </c>
      <c r="E26" s="6">
        <f t="shared" si="7"/>
        <v>0</v>
      </c>
      <c r="F26" s="6">
        <v>12940</v>
      </c>
      <c r="G26" s="7">
        <v>0</v>
      </c>
      <c r="H26" s="6">
        <v>13458</v>
      </c>
      <c r="I26" s="7">
        <f t="shared" si="5"/>
        <v>518</v>
      </c>
      <c r="J26" s="6">
        <v>0</v>
      </c>
      <c r="K26" s="6" t="s">
        <v>23</v>
      </c>
      <c r="L26" s="8">
        <v>0</v>
      </c>
      <c r="M26" s="8">
        <f t="shared" si="2"/>
        <v>4286</v>
      </c>
      <c r="N26" s="4" t="s">
        <v>24</v>
      </c>
      <c r="O26" s="6">
        <v>4</v>
      </c>
      <c r="P26" s="6">
        <v>200</v>
      </c>
      <c r="Q26" s="6">
        <v>7</v>
      </c>
      <c r="R26" s="4" t="s">
        <v>79</v>
      </c>
      <c r="S26" s="3">
        <v>1150</v>
      </c>
      <c r="T26" s="4" t="s">
        <v>26</v>
      </c>
    </row>
    <row r="27" spans="1:20" ht="14.4">
      <c r="A27" s="3">
        <v>26</v>
      </c>
      <c r="B27" s="4" t="s">
        <v>20</v>
      </c>
      <c r="C27" s="4" t="s">
        <v>77</v>
      </c>
      <c r="D27" s="4" t="s">
        <v>80</v>
      </c>
      <c r="E27" s="6">
        <f t="shared" si="7"/>
        <v>0</v>
      </c>
      <c r="F27" s="6">
        <v>0</v>
      </c>
      <c r="G27" s="7">
        <v>0</v>
      </c>
      <c r="H27" s="6">
        <v>0</v>
      </c>
      <c r="I27" s="7">
        <f t="shared" si="5"/>
        <v>0</v>
      </c>
      <c r="J27" s="6">
        <v>0</v>
      </c>
      <c r="K27" s="6">
        <v>0</v>
      </c>
      <c r="L27" s="8">
        <v>0</v>
      </c>
      <c r="M27" s="8">
        <f t="shared" si="2"/>
        <v>660</v>
      </c>
      <c r="N27" s="4" t="s">
        <v>24</v>
      </c>
      <c r="O27" s="6">
        <v>4</v>
      </c>
      <c r="P27" s="6">
        <v>200</v>
      </c>
      <c r="Q27" s="6">
        <v>7</v>
      </c>
      <c r="R27" s="4"/>
      <c r="S27" s="3">
        <v>1150</v>
      </c>
      <c r="T27" s="4" t="s">
        <v>26</v>
      </c>
    </row>
    <row r="28" spans="1:20" ht="14.4">
      <c r="A28" s="3">
        <v>27</v>
      </c>
      <c r="B28" s="4" t="s">
        <v>20</v>
      </c>
      <c r="C28" s="4" t="s">
        <v>77</v>
      </c>
      <c r="D28" s="4" t="s">
        <v>81</v>
      </c>
      <c r="E28" s="6">
        <f t="shared" si="7"/>
        <v>0</v>
      </c>
      <c r="F28" s="6">
        <v>7845</v>
      </c>
      <c r="G28" s="7">
        <v>0</v>
      </c>
      <c r="H28" s="6">
        <v>8026</v>
      </c>
      <c r="I28" s="7">
        <f t="shared" si="5"/>
        <v>181</v>
      </c>
      <c r="J28" s="6">
        <v>0</v>
      </c>
      <c r="K28" s="6" t="s">
        <v>23</v>
      </c>
      <c r="L28" s="8">
        <v>0</v>
      </c>
      <c r="M28" s="8">
        <f t="shared" si="2"/>
        <v>1927</v>
      </c>
      <c r="N28" s="4" t="s">
        <v>24</v>
      </c>
      <c r="O28" s="6">
        <v>4</v>
      </c>
      <c r="P28" s="6">
        <v>200</v>
      </c>
      <c r="Q28" s="6">
        <v>7</v>
      </c>
      <c r="R28" s="4" t="s">
        <v>82</v>
      </c>
      <c r="S28" s="3">
        <v>1150</v>
      </c>
      <c r="T28" s="4" t="s">
        <v>26</v>
      </c>
    </row>
    <row r="29" spans="1:20" ht="14.4">
      <c r="A29" s="3">
        <v>28</v>
      </c>
      <c r="B29" s="4" t="s">
        <v>20</v>
      </c>
      <c r="C29" s="4" t="s">
        <v>77</v>
      </c>
      <c r="D29" s="4" t="s">
        <v>83</v>
      </c>
      <c r="E29" s="6">
        <v>13243</v>
      </c>
      <c r="F29" s="6">
        <v>13637</v>
      </c>
      <c r="G29" s="7">
        <f>F29-E29</f>
        <v>394</v>
      </c>
      <c r="H29" s="6">
        <v>14087</v>
      </c>
      <c r="I29" s="7">
        <f t="shared" si="5"/>
        <v>450</v>
      </c>
      <c r="J29" s="6" t="s">
        <v>23</v>
      </c>
      <c r="K29" s="6" t="s">
        <v>23</v>
      </c>
      <c r="L29" s="8">
        <f>G29*Q29+P29+O29*115</f>
        <v>3418</v>
      </c>
      <c r="M29" s="8">
        <f t="shared" si="2"/>
        <v>3810</v>
      </c>
      <c r="N29" s="4" t="s">
        <v>24</v>
      </c>
      <c r="O29" s="6">
        <v>4</v>
      </c>
      <c r="P29" s="6">
        <v>200</v>
      </c>
      <c r="Q29" s="6">
        <v>7</v>
      </c>
      <c r="R29" s="4" t="s">
        <v>84</v>
      </c>
      <c r="S29" s="3">
        <v>1150</v>
      </c>
      <c r="T29" s="4" t="s">
        <v>26</v>
      </c>
    </row>
    <row r="30" spans="1:20" ht="14.4">
      <c r="A30" s="3">
        <v>29</v>
      </c>
      <c r="B30" s="4" t="s">
        <v>20</v>
      </c>
      <c r="C30" s="4" t="s">
        <v>85</v>
      </c>
      <c r="D30" s="4" t="s">
        <v>86</v>
      </c>
      <c r="E30" s="6">
        <f t="shared" ref="E30:E50" si="8">J30</f>
        <v>0</v>
      </c>
      <c r="F30" s="6">
        <v>16112</v>
      </c>
      <c r="G30" s="7">
        <v>0</v>
      </c>
      <c r="H30" s="6">
        <v>16813</v>
      </c>
      <c r="I30" s="7">
        <f t="shared" si="5"/>
        <v>701</v>
      </c>
      <c r="J30" s="6">
        <v>0</v>
      </c>
      <c r="K30" s="6" t="s">
        <v>23</v>
      </c>
      <c r="L30" s="8">
        <v>0</v>
      </c>
      <c r="M30" s="8">
        <f t="shared" si="2"/>
        <v>5567</v>
      </c>
      <c r="N30" s="4" t="s">
        <v>24</v>
      </c>
      <c r="O30" s="6">
        <v>4</v>
      </c>
      <c r="P30" s="6">
        <v>200</v>
      </c>
      <c r="Q30" s="6">
        <v>7</v>
      </c>
      <c r="R30" s="4" t="s">
        <v>87</v>
      </c>
      <c r="S30" s="3">
        <v>1150</v>
      </c>
      <c r="T30" s="4" t="s">
        <v>26</v>
      </c>
    </row>
    <row r="31" spans="1:20" ht="14.4">
      <c r="A31" s="3">
        <v>30</v>
      </c>
      <c r="B31" s="4" t="s">
        <v>20</v>
      </c>
      <c r="C31" s="4" t="s">
        <v>85</v>
      </c>
      <c r="D31" s="4" t="s">
        <v>88</v>
      </c>
      <c r="E31" s="6">
        <f t="shared" si="8"/>
        <v>0</v>
      </c>
      <c r="F31" s="6">
        <v>11150</v>
      </c>
      <c r="G31" s="7">
        <v>0</v>
      </c>
      <c r="H31" s="6">
        <v>11478</v>
      </c>
      <c r="I31" s="7">
        <f t="shared" si="5"/>
        <v>328</v>
      </c>
      <c r="J31" s="6">
        <v>0</v>
      </c>
      <c r="K31" s="6" t="s">
        <v>23</v>
      </c>
      <c r="L31" s="8">
        <v>0</v>
      </c>
      <c r="M31" s="8">
        <f t="shared" si="2"/>
        <v>2956</v>
      </c>
      <c r="N31" s="4" t="s">
        <v>24</v>
      </c>
      <c r="O31" s="6">
        <v>4</v>
      </c>
      <c r="P31" s="6">
        <v>200</v>
      </c>
      <c r="Q31" s="6">
        <v>7</v>
      </c>
      <c r="R31" s="4" t="s">
        <v>89</v>
      </c>
      <c r="S31" s="3">
        <v>1150</v>
      </c>
      <c r="T31" s="4" t="s">
        <v>26</v>
      </c>
    </row>
    <row r="32" spans="1:20" ht="14.4">
      <c r="A32" s="3">
        <v>31</v>
      </c>
      <c r="B32" s="4" t="s">
        <v>20</v>
      </c>
      <c r="C32" s="4" t="s">
        <v>85</v>
      </c>
      <c r="D32" s="9" t="s">
        <v>90</v>
      </c>
      <c r="E32" s="6">
        <f t="shared" si="8"/>
        <v>0</v>
      </c>
      <c r="F32" s="6">
        <v>3198</v>
      </c>
      <c r="G32" s="7">
        <v>0</v>
      </c>
      <c r="H32" s="6">
        <v>467</v>
      </c>
      <c r="I32" s="7">
        <v>0</v>
      </c>
      <c r="J32" s="6">
        <v>0</v>
      </c>
      <c r="K32" s="6" t="s">
        <v>23</v>
      </c>
      <c r="L32" s="8">
        <v>0</v>
      </c>
      <c r="M32" s="8">
        <f t="shared" si="2"/>
        <v>660</v>
      </c>
      <c r="N32" s="4" t="s">
        <v>24</v>
      </c>
      <c r="O32" s="6">
        <v>4</v>
      </c>
      <c r="P32" s="6">
        <v>200</v>
      </c>
      <c r="Q32" s="6">
        <v>7</v>
      </c>
      <c r="R32" s="4" t="s">
        <v>91</v>
      </c>
      <c r="S32" s="3">
        <v>1150</v>
      </c>
      <c r="T32" s="4" t="s">
        <v>26</v>
      </c>
    </row>
    <row r="33" spans="1:20" ht="14.4">
      <c r="A33" s="3">
        <v>32</v>
      </c>
      <c r="B33" s="4" t="s">
        <v>20</v>
      </c>
      <c r="C33" s="4" t="s">
        <v>85</v>
      </c>
      <c r="D33" s="4" t="s">
        <v>92</v>
      </c>
      <c r="E33" s="6">
        <f t="shared" si="8"/>
        <v>0</v>
      </c>
      <c r="F33" s="6">
        <v>8256</v>
      </c>
      <c r="G33" s="7">
        <v>0</v>
      </c>
      <c r="H33" s="6">
        <v>8651</v>
      </c>
      <c r="I33" s="7">
        <f t="shared" ref="I33:I287" si="9">H33-F33</f>
        <v>395</v>
      </c>
      <c r="J33" s="6">
        <v>0</v>
      </c>
      <c r="K33" s="6" t="s">
        <v>23</v>
      </c>
      <c r="L33" s="8">
        <v>0</v>
      </c>
      <c r="M33" s="8">
        <f t="shared" si="2"/>
        <v>3425</v>
      </c>
      <c r="N33" s="4" t="s">
        <v>24</v>
      </c>
      <c r="O33" s="6">
        <v>4</v>
      </c>
      <c r="P33" s="6">
        <v>200</v>
      </c>
      <c r="Q33" s="6">
        <v>7</v>
      </c>
      <c r="R33" s="4" t="s">
        <v>93</v>
      </c>
      <c r="S33" s="3">
        <v>1150</v>
      </c>
      <c r="T33" s="4" t="s">
        <v>26</v>
      </c>
    </row>
    <row r="34" spans="1:20" ht="14.4">
      <c r="A34" s="3">
        <v>33</v>
      </c>
      <c r="B34" s="4" t="s">
        <v>20</v>
      </c>
      <c r="C34" s="4" t="s">
        <v>94</v>
      </c>
      <c r="D34" s="4" t="s">
        <v>95</v>
      </c>
      <c r="E34" s="6">
        <f t="shared" si="8"/>
        <v>0</v>
      </c>
      <c r="F34" s="6">
        <v>1728</v>
      </c>
      <c r="G34" s="7">
        <v>0</v>
      </c>
      <c r="H34" s="6">
        <v>2156</v>
      </c>
      <c r="I34" s="7">
        <f t="shared" si="9"/>
        <v>428</v>
      </c>
      <c r="J34" s="6">
        <v>0</v>
      </c>
      <c r="K34" s="6" t="s">
        <v>23</v>
      </c>
      <c r="L34" s="8">
        <v>0</v>
      </c>
      <c r="M34" s="8">
        <f t="shared" si="2"/>
        <v>3656</v>
      </c>
      <c r="N34" s="4" t="s">
        <v>24</v>
      </c>
      <c r="O34" s="6">
        <v>4</v>
      </c>
      <c r="P34" s="6">
        <v>200</v>
      </c>
      <c r="Q34" s="6">
        <v>7</v>
      </c>
      <c r="R34" s="4" t="s">
        <v>96</v>
      </c>
      <c r="S34" s="3">
        <v>1150</v>
      </c>
      <c r="T34" s="4" t="s">
        <v>26</v>
      </c>
    </row>
    <row r="35" spans="1:20" ht="14.4">
      <c r="A35" s="3">
        <v>34</v>
      </c>
      <c r="B35" s="4" t="s">
        <v>20</v>
      </c>
      <c r="C35" s="4" t="s">
        <v>94</v>
      </c>
      <c r="D35" s="4" t="s">
        <v>97</v>
      </c>
      <c r="E35" s="6">
        <f t="shared" si="8"/>
        <v>0</v>
      </c>
      <c r="F35" s="6">
        <v>8459</v>
      </c>
      <c r="G35" s="7">
        <v>0</v>
      </c>
      <c r="H35" s="6">
        <v>8867</v>
      </c>
      <c r="I35" s="7">
        <f t="shared" si="9"/>
        <v>408</v>
      </c>
      <c r="J35" s="6">
        <v>0</v>
      </c>
      <c r="K35" s="6" t="s">
        <v>23</v>
      </c>
      <c r="L35" s="8">
        <v>0</v>
      </c>
      <c r="M35" s="8">
        <f t="shared" si="2"/>
        <v>3516</v>
      </c>
      <c r="N35" s="4" t="s">
        <v>24</v>
      </c>
      <c r="O35" s="6">
        <v>4</v>
      </c>
      <c r="P35" s="6">
        <v>200</v>
      </c>
      <c r="Q35" s="6">
        <v>7</v>
      </c>
      <c r="R35" s="4" t="s">
        <v>98</v>
      </c>
      <c r="S35" s="3">
        <v>1150</v>
      </c>
      <c r="T35" s="4" t="s">
        <v>26</v>
      </c>
    </row>
    <row r="36" spans="1:20" ht="14.4">
      <c r="A36" s="3">
        <v>35</v>
      </c>
      <c r="B36" s="4" t="s">
        <v>20</v>
      </c>
      <c r="C36" s="4" t="s">
        <v>94</v>
      </c>
      <c r="D36" s="4" t="s">
        <v>99</v>
      </c>
      <c r="E36" s="6">
        <f t="shared" si="8"/>
        <v>0</v>
      </c>
      <c r="F36" s="6">
        <v>246</v>
      </c>
      <c r="G36" s="7">
        <v>0</v>
      </c>
      <c r="H36" s="6">
        <v>414</v>
      </c>
      <c r="I36" s="7">
        <f t="shared" si="9"/>
        <v>168</v>
      </c>
      <c r="J36" s="6">
        <v>0</v>
      </c>
      <c r="K36" s="6" t="s">
        <v>23</v>
      </c>
      <c r="L36" s="8">
        <v>0</v>
      </c>
      <c r="M36" s="8">
        <f t="shared" si="2"/>
        <v>1836</v>
      </c>
      <c r="N36" s="4" t="s">
        <v>24</v>
      </c>
      <c r="O36" s="6">
        <v>4</v>
      </c>
      <c r="P36" s="6">
        <v>200</v>
      </c>
      <c r="Q36" s="6">
        <v>7</v>
      </c>
      <c r="R36" s="4" t="s">
        <v>100</v>
      </c>
      <c r="S36" s="3">
        <v>1150</v>
      </c>
      <c r="T36" s="4" t="s">
        <v>26</v>
      </c>
    </row>
    <row r="37" spans="1:20" ht="14.4">
      <c r="A37" s="3">
        <v>36</v>
      </c>
      <c r="B37" s="4" t="s">
        <v>20</v>
      </c>
      <c r="C37" s="4" t="s">
        <v>94</v>
      </c>
      <c r="D37" s="4" t="s">
        <v>101</v>
      </c>
      <c r="E37" s="6">
        <f t="shared" si="8"/>
        <v>0</v>
      </c>
      <c r="F37" s="6">
        <v>23766</v>
      </c>
      <c r="G37" s="7">
        <v>0</v>
      </c>
      <c r="H37" s="6">
        <v>24446</v>
      </c>
      <c r="I37" s="7">
        <f t="shared" si="9"/>
        <v>680</v>
      </c>
      <c r="J37" s="6">
        <v>0</v>
      </c>
      <c r="K37" s="6" t="s">
        <v>23</v>
      </c>
      <c r="L37" s="8">
        <v>0</v>
      </c>
      <c r="M37" s="8">
        <f t="shared" si="2"/>
        <v>5420</v>
      </c>
      <c r="N37" s="4" t="s">
        <v>24</v>
      </c>
      <c r="O37" s="6">
        <v>4</v>
      </c>
      <c r="P37" s="6">
        <v>200</v>
      </c>
      <c r="Q37" s="6">
        <v>7</v>
      </c>
      <c r="R37" s="4" t="s">
        <v>102</v>
      </c>
      <c r="S37" s="3">
        <v>1150</v>
      </c>
      <c r="T37" s="4" t="s">
        <v>26</v>
      </c>
    </row>
    <row r="38" spans="1:20" ht="14.4">
      <c r="A38" s="3">
        <v>37</v>
      </c>
      <c r="B38" s="4" t="s">
        <v>20</v>
      </c>
      <c r="C38" s="4" t="s">
        <v>103</v>
      </c>
      <c r="D38" s="4" t="s">
        <v>104</v>
      </c>
      <c r="E38" s="6">
        <f t="shared" si="8"/>
        <v>0</v>
      </c>
      <c r="F38" s="6">
        <v>7878</v>
      </c>
      <c r="G38" s="7">
        <v>0</v>
      </c>
      <c r="H38" s="6">
        <v>8359</v>
      </c>
      <c r="I38" s="7">
        <f t="shared" si="9"/>
        <v>481</v>
      </c>
      <c r="J38" s="6">
        <v>0</v>
      </c>
      <c r="K38" s="6" t="s">
        <v>23</v>
      </c>
      <c r="L38" s="8">
        <v>0</v>
      </c>
      <c r="M38" s="8">
        <f t="shared" si="2"/>
        <v>4027</v>
      </c>
      <c r="N38" s="4" t="s">
        <v>24</v>
      </c>
      <c r="O38" s="6">
        <v>4</v>
      </c>
      <c r="P38" s="6">
        <v>200</v>
      </c>
      <c r="Q38" s="6">
        <v>7</v>
      </c>
      <c r="R38" s="4" t="s">
        <v>105</v>
      </c>
      <c r="S38" s="3">
        <v>1150</v>
      </c>
      <c r="T38" s="4" t="s">
        <v>26</v>
      </c>
    </row>
    <row r="39" spans="1:20" ht="14.4">
      <c r="A39" s="3">
        <v>38</v>
      </c>
      <c r="B39" s="4" t="s">
        <v>20</v>
      </c>
      <c r="C39" s="4" t="s">
        <v>103</v>
      </c>
      <c r="D39" s="4" t="s">
        <v>106</v>
      </c>
      <c r="E39" s="6">
        <f t="shared" si="8"/>
        <v>0</v>
      </c>
      <c r="F39" s="6">
        <v>10756</v>
      </c>
      <c r="G39" s="7">
        <v>0</v>
      </c>
      <c r="H39" s="6">
        <v>11081</v>
      </c>
      <c r="I39" s="7">
        <f t="shared" si="9"/>
        <v>325</v>
      </c>
      <c r="J39" s="6">
        <v>0</v>
      </c>
      <c r="K39" s="6" t="s">
        <v>23</v>
      </c>
      <c r="L39" s="8">
        <v>0</v>
      </c>
      <c r="M39" s="8">
        <f t="shared" si="2"/>
        <v>2935</v>
      </c>
      <c r="N39" s="4" t="s">
        <v>24</v>
      </c>
      <c r="O39" s="6">
        <v>4</v>
      </c>
      <c r="P39" s="6">
        <v>200</v>
      </c>
      <c r="Q39" s="6">
        <v>7</v>
      </c>
      <c r="R39" s="4" t="s">
        <v>107</v>
      </c>
      <c r="S39" s="3">
        <v>1150</v>
      </c>
      <c r="T39" s="4" t="s">
        <v>26</v>
      </c>
    </row>
    <row r="40" spans="1:20" ht="14.4">
      <c r="A40" s="3">
        <v>39</v>
      </c>
      <c r="B40" s="4" t="s">
        <v>20</v>
      </c>
      <c r="C40" s="4" t="s">
        <v>103</v>
      </c>
      <c r="D40" s="4" t="s">
        <v>108</v>
      </c>
      <c r="E40" s="6">
        <f t="shared" si="8"/>
        <v>0</v>
      </c>
      <c r="F40" s="6">
        <v>7240</v>
      </c>
      <c r="G40" s="7">
        <v>0</v>
      </c>
      <c r="H40" s="6">
        <v>7560</v>
      </c>
      <c r="I40" s="7">
        <f t="shared" si="9"/>
        <v>320</v>
      </c>
      <c r="J40" s="6">
        <v>0</v>
      </c>
      <c r="K40" s="6" t="s">
        <v>23</v>
      </c>
      <c r="L40" s="8">
        <v>0</v>
      </c>
      <c r="M40" s="8">
        <f t="shared" si="2"/>
        <v>2900</v>
      </c>
      <c r="N40" s="4" t="s">
        <v>24</v>
      </c>
      <c r="O40" s="6">
        <v>4</v>
      </c>
      <c r="P40" s="6">
        <v>200</v>
      </c>
      <c r="Q40" s="6">
        <v>7</v>
      </c>
      <c r="R40" s="4" t="s">
        <v>109</v>
      </c>
      <c r="S40" s="3">
        <v>1150</v>
      </c>
      <c r="T40" s="4" t="s">
        <v>26</v>
      </c>
    </row>
    <row r="41" spans="1:20" ht="14.4">
      <c r="A41" s="3">
        <v>40</v>
      </c>
      <c r="B41" s="4" t="s">
        <v>20</v>
      </c>
      <c r="C41" s="4" t="s">
        <v>103</v>
      </c>
      <c r="D41" s="4" t="s">
        <v>110</v>
      </c>
      <c r="E41" s="6">
        <f t="shared" si="8"/>
        <v>0</v>
      </c>
      <c r="F41" s="6">
        <v>3053</v>
      </c>
      <c r="G41" s="7">
        <v>0</v>
      </c>
      <c r="H41" s="6">
        <v>3071</v>
      </c>
      <c r="I41" s="7">
        <f t="shared" si="9"/>
        <v>18</v>
      </c>
      <c r="J41" s="6">
        <v>0</v>
      </c>
      <c r="K41" s="6" t="s">
        <v>23</v>
      </c>
      <c r="L41" s="8">
        <v>0</v>
      </c>
      <c r="M41" s="8">
        <f t="shared" si="2"/>
        <v>786</v>
      </c>
      <c r="N41" s="4" t="s">
        <v>24</v>
      </c>
      <c r="O41" s="6">
        <v>4</v>
      </c>
      <c r="P41" s="6">
        <v>200</v>
      </c>
      <c r="Q41" s="6">
        <v>7</v>
      </c>
      <c r="R41" s="4" t="s">
        <v>111</v>
      </c>
      <c r="S41" s="3">
        <v>1150</v>
      </c>
      <c r="T41" s="4" t="s">
        <v>26</v>
      </c>
    </row>
    <row r="42" spans="1:20" ht="14.4">
      <c r="A42" s="3">
        <v>41</v>
      </c>
      <c r="B42" s="4" t="s">
        <v>20</v>
      </c>
      <c r="C42" s="4" t="s">
        <v>112</v>
      </c>
      <c r="D42" s="4" t="s">
        <v>113</v>
      </c>
      <c r="E42" s="6">
        <f t="shared" si="8"/>
        <v>0</v>
      </c>
      <c r="F42" s="6">
        <v>1568</v>
      </c>
      <c r="G42" s="7">
        <v>0</v>
      </c>
      <c r="H42" s="6">
        <v>1572</v>
      </c>
      <c r="I42" s="7">
        <f t="shared" si="9"/>
        <v>4</v>
      </c>
      <c r="J42" s="6">
        <v>0</v>
      </c>
      <c r="K42" s="6" t="s">
        <v>23</v>
      </c>
      <c r="L42" s="8">
        <v>0</v>
      </c>
      <c r="M42" s="8">
        <f t="shared" si="2"/>
        <v>688</v>
      </c>
      <c r="N42" s="4" t="s">
        <v>24</v>
      </c>
      <c r="O42" s="6">
        <v>4</v>
      </c>
      <c r="P42" s="6">
        <v>200</v>
      </c>
      <c r="Q42" s="6">
        <v>7</v>
      </c>
      <c r="R42" s="4" t="s">
        <v>114</v>
      </c>
      <c r="S42" s="3">
        <v>1150</v>
      </c>
      <c r="T42" s="4" t="s">
        <v>26</v>
      </c>
    </row>
    <row r="43" spans="1:20" ht="14.4">
      <c r="A43" s="3">
        <v>42</v>
      </c>
      <c r="B43" s="4" t="s">
        <v>20</v>
      </c>
      <c r="C43" s="4" t="s">
        <v>112</v>
      </c>
      <c r="D43" s="4" t="s">
        <v>115</v>
      </c>
      <c r="E43" s="6">
        <f t="shared" si="8"/>
        <v>0</v>
      </c>
      <c r="F43" s="6">
        <v>1743</v>
      </c>
      <c r="G43" s="7">
        <v>0</v>
      </c>
      <c r="H43" s="6">
        <v>1813</v>
      </c>
      <c r="I43" s="7">
        <f t="shared" si="9"/>
        <v>70</v>
      </c>
      <c r="J43" s="6">
        <v>0</v>
      </c>
      <c r="K43" s="6" t="s">
        <v>23</v>
      </c>
      <c r="L43" s="8">
        <v>0</v>
      </c>
      <c r="M43" s="8">
        <f t="shared" si="2"/>
        <v>1150</v>
      </c>
      <c r="N43" s="4" t="s">
        <v>24</v>
      </c>
      <c r="O43" s="6">
        <v>4</v>
      </c>
      <c r="P43" s="6">
        <v>200</v>
      </c>
      <c r="Q43" s="6">
        <v>7</v>
      </c>
      <c r="R43" s="4" t="s">
        <v>116</v>
      </c>
      <c r="S43" s="3">
        <v>1150</v>
      </c>
      <c r="T43" s="4" t="s">
        <v>26</v>
      </c>
    </row>
    <row r="44" spans="1:20" ht="14.4">
      <c r="A44" s="3">
        <v>43</v>
      </c>
      <c r="B44" s="4" t="s">
        <v>20</v>
      </c>
      <c r="C44" s="4" t="s">
        <v>112</v>
      </c>
      <c r="D44" s="4" t="s">
        <v>117</v>
      </c>
      <c r="E44" s="6">
        <f t="shared" si="8"/>
        <v>0</v>
      </c>
      <c r="F44" s="6">
        <v>0</v>
      </c>
      <c r="G44" s="7">
        <v>0</v>
      </c>
      <c r="H44" s="6">
        <v>0</v>
      </c>
      <c r="I44" s="7">
        <f t="shared" si="9"/>
        <v>0</v>
      </c>
      <c r="J44" s="6">
        <v>0</v>
      </c>
      <c r="K44" s="6">
        <v>0</v>
      </c>
      <c r="L44" s="8">
        <v>0</v>
      </c>
      <c r="M44" s="8">
        <f t="shared" si="2"/>
        <v>660</v>
      </c>
      <c r="N44" s="4" t="s">
        <v>24</v>
      </c>
      <c r="O44" s="6">
        <v>4</v>
      </c>
      <c r="P44" s="6">
        <v>200</v>
      </c>
      <c r="Q44" s="6">
        <v>7</v>
      </c>
      <c r="R44" s="4"/>
      <c r="S44" s="3">
        <v>1150</v>
      </c>
      <c r="T44" s="4" t="s">
        <v>26</v>
      </c>
    </row>
    <row r="45" spans="1:20" ht="14.4">
      <c r="A45" s="3">
        <v>44</v>
      </c>
      <c r="B45" s="4" t="s">
        <v>20</v>
      </c>
      <c r="C45" s="4" t="s">
        <v>112</v>
      </c>
      <c r="D45" s="4" t="s">
        <v>118</v>
      </c>
      <c r="E45" s="6">
        <f t="shared" si="8"/>
        <v>0</v>
      </c>
      <c r="F45" s="6">
        <v>7946</v>
      </c>
      <c r="G45" s="7">
        <v>0</v>
      </c>
      <c r="H45" s="6">
        <v>8486</v>
      </c>
      <c r="I45" s="7">
        <f t="shared" si="9"/>
        <v>540</v>
      </c>
      <c r="J45" s="6">
        <v>0</v>
      </c>
      <c r="K45" s="6" t="s">
        <v>23</v>
      </c>
      <c r="L45" s="8">
        <v>0</v>
      </c>
      <c r="M45" s="8">
        <f t="shared" si="2"/>
        <v>4440</v>
      </c>
      <c r="N45" s="4" t="s">
        <v>24</v>
      </c>
      <c r="O45" s="6">
        <v>4</v>
      </c>
      <c r="P45" s="6">
        <v>200</v>
      </c>
      <c r="Q45" s="6">
        <v>7</v>
      </c>
      <c r="R45" s="4" t="s">
        <v>119</v>
      </c>
      <c r="S45" s="3">
        <v>1150</v>
      </c>
      <c r="T45" s="4" t="s">
        <v>26</v>
      </c>
    </row>
    <row r="46" spans="1:20" ht="14.4">
      <c r="A46" s="3">
        <v>45</v>
      </c>
      <c r="B46" s="4" t="s">
        <v>20</v>
      </c>
      <c r="C46" s="4" t="s">
        <v>120</v>
      </c>
      <c r="D46" s="4" t="s">
        <v>121</v>
      </c>
      <c r="E46" s="6">
        <f t="shared" si="8"/>
        <v>0</v>
      </c>
      <c r="F46" s="6">
        <v>9650</v>
      </c>
      <c r="G46" s="7">
        <v>0</v>
      </c>
      <c r="H46" s="6">
        <v>10032</v>
      </c>
      <c r="I46" s="7">
        <f t="shared" si="9"/>
        <v>382</v>
      </c>
      <c r="J46" s="6">
        <v>0</v>
      </c>
      <c r="K46" s="6" t="s">
        <v>23</v>
      </c>
      <c r="L46" s="8">
        <v>0</v>
      </c>
      <c r="M46" s="8">
        <f t="shared" si="2"/>
        <v>3334</v>
      </c>
      <c r="N46" s="4" t="s">
        <v>24</v>
      </c>
      <c r="O46" s="6">
        <v>4</v>
      </c>
      <c r="P46" s="6">
        <v>200</v>
      </c>
      <c r="Q46" s="6">
        <v>7</v>
      </c>
      <c r="R46" s="4" t="s">
        <v>122</v>
      </c>
      <c r="S46" s="3">
        <v>1150</v>
      </c>
      <c r="T46" s="4" t="s">
        <v>26</v>
      </c>
    </row>
    <row r="47" spans="1:20" ht="14.4">
      <c r="A47" s="3">
        <v>46</v>
      </c>
      <c r="B47" s="4" t="s">
        <v>20</v>
      </c>
      <c r="C47" s="4" t="s">
        <v>120</v>
      </c>
      <c r="D47" s="4" t="s">
        <v>123</v>
      </c>
      <c r="E47" s="6">
        <f t="shared" si="8"/>
        <v>0</v>
      </c>
      <c r="F47" s="6">
        <v>6678</v>
      </c>
      <c r="G47" s="7">
        <v>0</v>
      </c>
      <c r="H47" s="6">
        <v>6958</v>
      </c>
      <c r="I47" s="7">
        <f t="shared" si="9"/>
        <v>280</v>
      </c>
      <c r="J47" s="6">
        <v>0</v>
      </c>
      <c r="K47" s="6" t="s">
        <v>23</v>
      </c>
      <c r="L47" s="8">
        <v>0</v>
      </c>
      <c r="M47" s="8">
        <f t="shared" si="2"/>
        <v>2620</v>
      </c>
      <c r="N47" s="4" t="s">
        <v>24</v>
      </c>
      <c r="O47" s="6">
        <v>4</v>
      </c>
      <c r="P47" s="6">
        <v>200</v>
      </c>
      <c r="Q47" s="6">
        <v>7</v>
      </c>
      <c r="R47" s="4" t="s">
        <v>124</v>
      </c>
      <c r="S47" s="3">
        <v>1150</v>
      </c>
      <c r="T47" s="4" t="s">
        <v>26</v>
      </c>
    </row>
    <row r="48" spans="1:20" ht="14.4">
      <c r="A48" s="3">
        <v>47</v>
      </c>
      <c r="B48" s="4" t="s">
        <v>20</v>
      </c>
      <c r="C48" s="4" t="s">
        <v>120</v>
      </c>
      <c r="D48" s="4" t="s">
        <v>125</v>
      </c>
      <c r="E48" s="6">
        <f t="shared" si="8"/>
        <v>0</v>
      </c>
      <c r="F48" s="6">
        <v>0</v>
      </c>
      <c r="G48" s="7">
        <v>0</v>
      </c>
      <c r="H48" s="6">
        <v>0</v>
      </c>
      <c r="I48" s="7">
        <f t="shared" si="9"/>
        <v>0</v>
      </c>
      <c r="J48" s="6">
        <v>0</v>
      </c>
      <c r="K48" s="6">
        <v>0</v>
      </c>
      <c r="L48" s="8">
        <v>0</v>
      </c>
      <c r="M48" s="8">
        <f t="shared" si="2"/>
        <v>660</v>
      </c>
      <c r="N48" s="4" t="s">
        <v>24</v>
      </c>
      <c r="O48" s="6">
        <v>4</v>
      </c>
      <c r="P48" s="6">
        <v>200</v>
      </c>
      <c r="Q48" s="6">
        <v>7</v>
      </c>
      <c r="R48" s="4"/>
      <c r="S48" s="3">
        <v>1150</v>
      </c>
      <c r="T48" s="4" t="s">
        <v>26</v>
      </c>
    </row>
    <row r="49" spans="1:20" ht="14.4">
      <c r="A49" s="3">
        <v>48</v>
      </c>
      <c r="B49" s="4" t="s">
        <v>20</v>
      </c>
      <c r="C49" s="4" t="s">
        <v>120</v>
      </c>
      <c r="D49" s="4" t="s">
        <v>126</v>
      </c>
      <c r="E49" s="6">
        <f t="shared" si="8"/>
        <v>0</v>
      </c>
      <c r="F49" s="6">
        <v>4378</v>
      </c>
      <c r="G49" s="7">
        <v>0</v>
      </c>
      <c r="H49" s="6">
        <v>4640</v>
      </c>
      <c r="I49" s="7">
        <f t="shared" si="9"/>
        <v>262</v>
      </c>
      <c r="J49" s="6">
        <v>0</v>
      </c>
      <c r="K49" s="6" t="s">
        <v>23</v>
      </c>
      <c r="L49" s="8">
        <v>0</v>
      </c>
      <c r="M49" s="8">
        <f t="shared" si="2"/>
        <v>2494</v>
      </c>
      <c r="N49" s="4" t="s">
        <v>24</v>
      </c>
      <c r="O49" s="6">
        <v>4</v>
      </c>
      <c r="P49" s="6">
        <v>200</v>
      </c>
      <c r="Q49" s="6">
        <v>7</v>
      </c>
      <c r="R49" s="4" t="s">
        <v>127</v>
      </c>
      <c r="S49" s="3">
        <v>1150</v>
      </c>
      <c r="T49" s="4" t="s">
        <v>26</v>
      </c>
    </row>
    <row r="50" spans="1:20" ht="14.4">
      <c r="A50" s="3">
        <v>49</v>
      </c>
      <c r="B50" s="4" t="s">
        <v>20</v>
      </c>
      <c r="C50" s="4" t="s">
        <v>128</v>
      </c>
      <c r="D50" s="4" t="s">
        <v>129</v>
      </c>
      <c r="E50" s="6">
        <f t="shared" si="8"/>
        <v>0</v>
      </c>
      <c r="F50" s="6">
        <v>32414</v>
      </c>
      <c r="G50" s="7">
        <v>0</v>
      </c>
      <c r="H50" s="6">
        <v>32722</v>
      </c>
      <c r="I50" s="7">
        <f t="shared" si="9"/>
        <v>308</v>
      </c>
      <c r="J50" s="6">
        <v>0</v>
      </c>
      <c r="K50" s="6" t="s">
        <v>23</v>
      </c>
      <c r="L50" s="8">
        <v>0</v>
      </c>
      <c r="M50" s="8">
        <f t="shared" si="2"/>
        <v>2816</v>
      </c>
      <c r="N50" s="4" t="s">
        <v>24</v>
      </c>
      <c r="O50" s="6">
        <v>4</v>
      </c>
      <c r="P50" s="6">
        <v>200</v>
      </c>
      <c r="Q50" s="6">
        <v>7</v>
      </c>
      <c r="R50" s="4" t="s">
        <v>130</v>
      </c>
      <c r="S50" s="3">
        <v>1150</v>
      </c>
      <c r="T50" s="4" t="s">
        <v>26</v>
      </c>
    </row>
    <row r="51" spans="1:20" ht="14.4">
      <c r="A51" s="3">
        <v>50</v>
      </c>
      <c r="B51" s="4" t="s">
        <v>20</v>
      </c>
      <c r="C51" s="4" t="s">
        <v>128</v>
      </c>
      <c r="D51" s="4" t="s">
        <v>131</v>
      </c>
      <c r="E51" s="6">
        <v>9332</v>
      </c>
      <c r="F51" s="6">
        <v>10271</v>
      </c>
      <c r="G51" s="7">
        <f t="shared" ref="G51:G56" si="10">F51-E51</f>
        <v>939</v>
      </c>
      <c r="H51" s="6">
        <v>11650</v>
      </c>
      <c r="I51" s="7">
        <f t="shared" si="9"/>
        <v>1379</v>
      </c>
      <c r="J51" s="6" t="s">
        <v>23</v>
      </c>
      <c r="K51" s="6" t="s">
        <v>23</v>
      </c>
      <c r="L51" s="8">
        <f t="shared" ref="L51:L53" si="11">G51*Q51+P51+O51*115</f>
        <v>7233</v>
      </c>
      <c r="M51" s="8">
        <f t="shared" si="2"/>
        <v>10313</v>
      </c>
      <c r="N51" s="4" t="s">
        <v>24</v>
      </c>
      <c r="O51" s="6">
        <v>4</v>
      </c>
      <c r="P51" s="6">
        <v>200</v>
      </c>
      <c r="Q51" s="6">
        <v>7</v>
      </c>
      <c r="R51" s="4" t="s">
        <v>132</v>
      </c>
      <c r="S51" s="3">
        <v>1150</v>
      </c>
      <c r="T51" s="4" t="s">
        <v>26</v>
      </c>
    </row>
    <row r="52" spans="1:20" ht="14.4">
      <c r="A52" s="3">
        <v>51</v>
      </c>
      <c r="B52" s="4" t="s">
        <v>20</v>
      </c>
      <c r="C52" s="4" t="s">
        <v>128</v>
      </c>
      <c r="D52" s="4" t="s">
        <v>133</v>
      </c>
      <c r="E52" s="6">
        <v>6459</v>
      </c>
      <c r="F52" s="6">
        <v>6459</v>
      </c>
      <c r="G52" s="7">
        <f t="shared" si="10"/>
        <v>0</v>
      </c>
      <c r="H52" s="6">
        <v>7072</v>
      </c>
      <c r="I52" s="7">
        <f t="shared" si="9"/>
        <v>613</v>
      </c>
      <c r="J52" s="6" t="s">
        <v>23</v>
      </c>
      <c r="K52" s="6" t="s">
        <v>23</v>
      </c>
      <c r="L52" s="8">
        <f t="shared" si="11"/>
        <v>660</v>
      </c>
      <c r="M52" s="8">
        <f t="shared" si="2"/>
        <v>4951</v>
      </c>
      <c r="N52" s="4" t="s">
        <v>24</v>
      </c>
      <c r="O52" s="6">
        <v>4</v>
      </c>
      <c r="P52" s="6">
        <v>200</v>
      </c>
      <c r="Q52" s="6">
        <v>7</v>
      </c>
      <c r="R52" s="4" t="s">
        <v>134</v>
      </c>
      <c r="S52" s="3">
        <v>1150</v>
      </c>
      <c r="T52" s="4" t="s">
        <v>26</v>
      </c>
    </row>
    <row r="53" spans="1:20" ht="14.4">
      <c r="A53" s="3">
        <v>52</v>
      </c>
      <c r="B53" s="4" t="s">
        <v>20</v>
      </c>
      <c r="C53" s="4" t="s">
        <v>128</v>
      </c>
      <c r="D53" s="4" t="s">
        <v>135</v>
      </c>
      <c r="E53" s="6">
        <v>12132</v>
      </c>
      <c r="F53" s="6">
        <v>12611</v>
      </c>
      <c r="G53" s="7">
        <f t="shared" si="10"/>
        <v>479</v>
      </c>
      <c r="H53" s="6">
        <v>13038</v>
      </c>
      <c r="I53" s="7">
        <f t="shared" si="9"/>
        <v>427</v>
      </c>
      <c r="J53" s="6">
        <v>0</v>
      </c>
      <c r="K53" s="6" t="s">
        <v>23</v>
      </c>
      <c r="L53" s="8">
        <f t="shared" si="11"/>
        <v>4013</v>
      </c>
      <c r="M53" s="8">
        <f t="shared" si="2"/>
        <v>3649</v>
      </c>
      <c r="N53" s="4" t="s">
        <v>24</v>
      </c>
      <c r="O53" s="6">
        <v>4</v>
      </c>
      <c r="P53" s="6">
        <v>200</v>
      </c>
      <c r="Q53" s="6">
        <v>7</v>
      </c>
      <c r="R53" s="4" t="s">
        <v>136</v>
      </c>
      <c r="S53" s="3">
        <v>1150</v>
      </c>
      <c r="T53" s="4" t="s">
        <v>26</v>
      </c>
    </row>
    <row r="54" spans="1:20" ht="14.4">
      <c r="A54" s="3">
        <v>53</v>
      </c>
      <c r="B54" s="4" t="s">
        <v>20</v>
      </c>
      <c r="C54" s="4" t="s">
        <v>137</v>
      </c>
      <c r="D54" s="4" t="s">
        <v>138</v>
      </c>
      <c r="E54" s="6">
        <f t="shared" ref="E54:E57" si="12">J54</f>
        <v>0</v>
      </c>
      <c r="F54" s="6">
        <v>0</v>
      </c>
      <c r="G54" s="7">
        <f t="shared" si="10"/>
        <v>0</v>
      </c>
      <c r="H54" s="6">
        <v>0</v>
      </c>
      <c r="I54" s="7">
        <f t="shared" si="9"/>
        <v>0</v>
      </c>
      <c r="J54" s="6">
        <v>0</v>
      </c>
      <c r="K54" s="6">
        <v>0</v>
      </c>
      <c r="L54" s="8">
        <v>0</v>
      </c>
      <c r="M54" s="8">
        <v>0</v>
      </c>
      <c r="N54" s="4" t="s">
        <v>24</v>
      </c>
      <c r="O54" s="6">
        <v>4</v>
      </c>
      <c r="P54" s="6">
        <v>200</v>
      </c>
      <c r="Q54" s="6">
        <v>7</v>
      </c>
      <c r="R54" s="4" t="s">
        <v>139</v>
      </c>
      <c r="S54" s="3">
        <v>1150</v>
      </c>
      <c r="T54" s="4" t="s">
        <v>26</v>
      </c>
    </row>
    <row r="55" spans="1:20" ht="14.4">
      <c r="A55" s="3">
        <v>54</v>
      </c>
      <c r="B55" s="4" t="s">
        <v>20</v>
      </c>
      <c r="C55" s="4" t="s">
        <v>137</v>
      </c>
      <c r="D55" s="4" t="s">
        <v>140</v>
      </c>
      <c r="E55" s="6">
        <f t="shared" si="12"/>
        <v>0</v>
      </c>
      <c r="F55" s="6">
        <v>0</v>
      </c>
      <c r="G55" s="7">
        <f t="shared" si="10"/>
        <v>0</v>
      </c>
      <c r="H55" s="6">
        <v>0</v>
      </c>
      <c r="I55" s="7">
        <f t="shared" si="9"/>
        <v>0</v>
      </c>
      <c r="J55" s="6">
        <v>0</v>
      </c>
      <c r="K55" s="6">
        <v>0</v>
      </c>
      <c r="L55" s="8">
        <v>0</v>
      </c>
      <c r="M55" s="8">
        <v>0</v>
      </c>
      <c r="N55" s="4" t="s">
        <v>24</v>
      </c>
      <c r="O55" s="6">
        <v>4</v>
      </c>
      <c r="P55" s="6">
        <v>200</v>
      </c>
      <c r="Q55" s="6">
        <v>7</v>
      </c>
      <c r="R55" s="4"/>
      <c r="S55" s="3">
        <v>1150</v>
      </c>
      <c r="T55" s="4" t="s">
        <v>26</v>
      </c>
    </row>
    <row r="56" spans="1:20" ht="14.4">
      <c r="A56" s="3">
        <v>55</v>
      </c>
      <c r="B56" s="4" t="s">
        <v>20</v>
      </c>
      <c r="C56" s="4" t="s">
        <v>137</v>
      </c>
      <c r="D56" s="4" t="s">
        <v>141</v>
      </c>
      <c r="E56" s="6">
        <f t="shared" si="12"/>
        <v>0</v>
      </c>
      <c r="F56" s="6">
        <v>0</v>
      </c>
      <c r="G56" s="7">
        <f t="shared" si="10"/>
        <v>0</v>
      </c>
      <c r="H56" s="6">
        <v>0</v>
      </c>
      <c r="I56" s="7">
        <f t="shared" si="9"/>
        <v>0</v>
      </c>
      <c r="J56" s="6">
        <v>0</v>
      </c>
      <c r="K56" s="6">
        <v>0</v>
      </c>
      <c r="L56" s="8">
        <v>0</v>
      </c>
      <c r="M56" s="8">
        <v>0</v>
      </c>
      <c r="N56" s="4" t="s">
        <v>24</v>
      </c>
      <c r="O56" s="6">
        <v>4</v>
      </c>
      <c r="P56" s="6">
        <v>200</v>
      </c>
      <c r="Q56" s="6">
        <v>7</v>
      </c>
      <c r="R56" s="4"/>
      <c r="S56" s="3">
        <v>1150</v>
      </c>
      <c r="T56" s="4" t="s">
        <v>26</v>
      </c>
    </row>
    <row r="57" spans="1:20" ht="14.4">
      <c r="A57" s="3">
        <v>56</v>
      </c>
      <c r="B57" s="4" t="s">
        <v>20</v>
      </c>
      <c r="C57" s="4" t="s">
        <v>137</v>
      </c>
      <c r="D57" s="4" t="s">
        <v>142</v>
      </c>
      <c r="E57" s="6">
        <f t="shared" si="12"/>
        <v>0</v>
      </c>
      <c r="F57" s="6">
        <v>4374</v>
      </c>
      <c r="G57" s="7">
        <v>0</v>
      </c>
      <c r="H57" s="6">
        <v>4569</v>
      </c>
      <c r="I57" s="7">
        <f t="shared" si="9"/>
        <v>195</v>
      </c>
      <c r="J57" s="6">
        <v>0</v>
      </c>
      <c r="K57" s="6" t="s">
        <v>23</v>
      </c>
      <c r="L57" s="8">
        <v>0</v>
      </c>
      <c r="M57" s="8">
        <f t="shared" ref="M57:M58" si="13">I57*Q57+P57+O57*115</f>
        <v>2025</v>
      </c>
      <c r="N57" s="4" t="s">
        <v>24</v>
      </c>
      <c r="O57" s="6">
        <v>4</v>
      </c>
      <c r="P57" s="6">
        <v>200</v>
      </c>
      <c r="Q57" s="6">
        <v>7</v>
      </c>
      <c r="R57" s="4" t="s">
        <v>143</v>
      </c>
      <c r="S57" s="3">
        <v>1150</v>
      </c>
      <c r="T57" s="4" t="s">
        <v>26</v>
      </c>
    </row>
    <row r="58" spans="1:20" ht="14.4">
      <c r="A58" s="3">
        <v>57</v>
      </c>
      <c r="B58" s="4" t="s">
        <v>20</v>
      </c>
      <c r="C58" s="4" t="s">
        <v>144</v>
      </c>
      <c r="D58" s="4" t="s">
        <v>145</v>
      </c>
      <c r="E58" s="6">
        <v>1466</v>
      </c>
      <c r="F58" s="6">
        <v>1921</v>
      </c>
      <c r="G58" s="7">
        <f>F58-E58</f>
        <v>455</v>
      </c>
      <c r="H58" s="6">
        <v>2460</v>
      </c>
      <c r="I58" s="7">
        <f t="shared" si="9"/>
        <v>539</v>
      </c>
      <c r="J58" s="6" t="s">
        <v>23</v>
      </c>
      <c r="K58" s="6" t="s">
        <v>23</v>
      </c>
      <c r="L58" s="8">
        <f>G58*Q58+P58+O58*115</f>
        <v>3845</v>
      </c>
      <c r="M58" s="8">
        <f t="shared" si="13"/>
        <v>4433</v>
      </c>
      <c r="N58" s="4" t="s">
        <v>24</v>
      </c>
      <c r="O58" s="6">
        <v>4</v>
      </c>
      <c r="P58" s="6">
        <v>200</v>
      </c>
      <c r="Q58" s="6">
        <v>7</v>
      </c>
      <c r="R58" s="4" t="s">
        <v>146</v>
      </c>
      <c r="S58" s="3">
        <v>1150</v>
      </c>
      <c r="T58" s="4" t="s">
        <v>26</v>
      </c>
    </row>
    <row r="59" spans="1:20" ht="14.4">
      <c r="A59" s="3">
        <v>58</v>
      </c>
      <c r="B59" s="4" t="s">
        <v>20</v>
      </c>
      <c r="C59" s="4" t="s">
        <v>144</v>
      </c>
      <c r="D59" s="4" t="s">
        <v>147</v>
      </c>
      <c r="E59" s="6">
        <f t="shared" ref="E59:E61" si="14">J59</f>
        <v>0</v>
      </c>
      <c r="F59" s="6">
        <v>0</v>
      </c>
      <c r="G59" s="7">
        <v>0</v>
      </c>
      <c r="H59" s="6">
        <v>0</v>
      </c>
      <c r="I59" s="7">
        <f t="shared" si="9"/>
        <v>0</v>
      </c>
      <c r="J59" s="6">
        <v>0</v>
      </c>
      <c r="K59" s="6">
        <v>0</v>
      </c>
      <c r="L59" s="8">
        <v>0</v>
      </c>
      <c r="M59" s="8">
        <v>0</v>
      </c>
      <c r="N59" s="4" t="s">
        <v>24</v>
      </c>
      <c r="O59" s="6">
        <v>4</v>
      </c>
      <c r="P59" s="6">
        <v>200</v>
      </c>
      <c r="Q59" s="6">
        <v>7</v>
      </c>
      <c r="R59" s="4"/>
      <c r="S59" s="3">
        <v>1150</v>
      </c>
      <c r="T59" s="4" t="s">
        <v>26</v>
      </c>
    </row>
    <row r="60" spans="1:20" ht="14.4">
      <c r="A60" s="3">
        <v>59</v>
      </c>
      <c r="B60" s="4" t="s">
        <v>20</v>
      </c>
      <c r="C60" s="4" t="s">
        <v>144</v>
      </c>
      <c r="D60" s="4" t="s">
        <v>148</v>
      </c>
      <c r="E60" s="6">
        <f t="shared" si="14"/>
        <v>0</v>
      </c>
      <c r="F60" s="6">
        <v>0</v>
      </c>
      <c r="G60" s="7">
        <v>0</v>
      </c>
      <c r="H60" s="6">
        <v>0</v>
      </c>
      <c r="I60" s="7">
        <f t="shared" si="9"/>
        <v>0</v>
      </c>
      <c r="J60" s="6">
        <v>0</v>
      </c>
      <c r="K60" s="6">
        <v>0</v>
      </c>
      <c r="L60" s="8">
        <v>0</v>
      </c>
      <c r="M60" s="8">
        <v>0</v>
      </c>
      <c r="N60" s="4" t="s">
        <v>24</v>
      </c>
      <c r="O60" s="6">
        <v>4</v>
      </c>
      <c r="P60" s="6">
        <v>200</v>
      </c>
      <c r="Q60" s="6">
        <v>7</v>
      </c>
      <c r="R60" s="4" t="s">
        <v>149</v>
      </c>
      <c r="S60" s="3">
        <v>1150</v>
      </c>
      <c r="T60" s="4" t="s">
        <v>26</v>
      </c>
    </row>
    <row r="61" spans="1:20" ht="14.4">
      <c r="A61" s="3">
        <v>60</v>
      </c>
      <c r="B61" s="4" t="s">
        <v>20</v>
      </c>
      <c r="C61" s="4" t="s">
        <v>144</v>
      </c>
      <c r="D61" s="4" t="s">
        <v>150</v>
      </c>
      <c r="E61" s="6">
        <f t="shared" si="14"/>
        <v>0</v>
      </c>
      <c r="F61" s="6">
        <v>2804</v>
      </c>
      <c r="G61" s="7">
        <v>0</v>
      </c>
      <c r="H61" s="6">
        <v>2969</v>
      </c>
      <c r="I61" s="7">
        <f t="shared" si="9"/>
        <v>165</v>
      </c>
      <c r="J61" s="6">
        <v>0</v>
      </c>
      <c r="K61" s="6" t="s">
        <v>23</v>
      </c>
      <c r="L61" s="8">
        <v>0</v>
      </c>
      <c r="M61" s="8">
        <f t="shared" ref="M61:M62" si="15">I61*Q61+P61+O61*115</f>
        <v>1815</v>
      </c>
      <c r="N61" s="4" t="s">
        <v>24</v>
      </c>
      <c r="O61" s="6">
        <v>4</v>
      </c>
      <c r="P61" s="6">
        <v>200</v>
      </c>
      <c r="Q61" s="6">
        <v>7</v>
      </c>
      <c r="R61" s="4" t="s">
        <v>151</v>
      </c>
      <c r="S61" s="3">
        <v>1150</v>
      </c>
      <c r="T61" s="4" t="s">
        <v>26</v>
      </c>
    </row>
    <row r="62" spans="1:20" ht="14.4">
      <c r="A62" s="3">
        <v>61</v>
      </c>
      <c r="B62" s="4" t="s">
        <v>20</v>
      </c>
      <c r="C62" s="4" t="s">
        <v>152</v>
      </c>
      <c r="D62" s="4" t="s">
        <v>153</v>
      </c>
      <c r="E62" s="6">
        <v>16390</v>
      </c>
      <c r="F62" s="6">
        <v>17196</v>
      </c>
      <c r="G62" s="7">
        <f>F62-E62</f>
        <v>806</v>
      </c>
      <c r="H62" s="6">
        <v>17998</v>
      </c>
      <c r="I62" s="7">
        <f t="shared" si="9"/>
        <v>802</v>
      </c>
      <c r="J62" s="6" t="s">
        <v>23</v>
      </c>
      <c r="K62" s="6" t="s">
        <v>23</v>
      </c>
      <c r="L62" s="8">
        <f>G62*Q62+P62+O62*115</f>
        <v>6302</v>
      </c>
      <c r="M62" s="8">
        <f t="shared" si="15"/>
        <v>6274</v>
      </c>
      <c r="N62" s="4" t="s">
        <v>24</v>
      </c>
      <c r="O62" s="6">
        <v>4</v>
      </c>
      <c r="P62" s="6">
        <v>200</v>
      </c>
      <c r="Q62" s="6">
        <v>7</v>
      </c>
      <c r="R62" s="4"/>
      <c r="S62" s="3">
        <v>1150</v>
      </c>
      <c r="T62" s="4" t="s">
        <v>26</v>
      </c>
    </row>
    <row r="63" spans="1:20" ht="14.4">
      <c r="A63" s="3">
        <v>62</v>
      </c>
      <c r="B63" s="4" t="s">
        <v>20</v>
      </c>
      <c r="C63" s="4" t="s">
        <v>152</v>
      </c>
      <c r="D63" s="4" t="s">
        <v>154</v>
      </c>
      <c r="E63" s="6">
        <f t="shared" ref="E63:E77" si="16">J63</f>
        <v>0</v>
      </c>
      <c r="F63" s="6">
        <v>0</v>
      </c>
      <c r="G63" s="7">
        <v>0</v>
      </c>
      <c r="H63" s="6">
        <v>0</v>
      </c>
      <c r="I63" s="7">
        <f t="shared" si="9"/>
        <v>0</v>
      </c>
      <c r="J63" s="6">
        <v>0</v>
      </c>
      <c r="K63" s="6">
        <v>0</v>
      </c>
      <c r="L63" s="8">
        <v>0</v>
      </c>
      <c r="M63" s="8">
        <v>0</v>
      </c>
      <c r="N63" s="4" t="s">
        <v>24</v>
      </c>
      <c r="O63" s="6">
        <v>4</v>
      </c>
      <c r="P63" s="6">
        <v>200</v>
      </c>
      <c r="Q63" s="6">
        <v>7</v>
      </c>
      <c r="R63" s="4" t="s">
        <v>155</v>
      </c>
      <c r="S63" s="3">
        <v>1150</v>
      </c>
      <c r="T63" s="4" t="s">
        <v>26</v>
      </c>
    </row>
    <row r="64" spans="1:20" ht="14.4">
      <c r="A64" s="3">
        <v>63</v>
      </c>
      <c r="B64" s="4" t="s">
        <v>20</v>
      </c>
      <c r="C64" s="4" t="s">
        <v>152</v>
      </c>
      <c r="D64" s="4" t="s">
        <v>156</v>
      </c>
      <c r="E64" s="6">
        <f t="shared" si="16"/>
        <v>0</v>
      </c>
      <c r="F64" s="6">
        <v>7251</v>
      </c>
      <c r="G64" s="7">
        <v>0</v>
      </c>
      <c r="H64" s="6">
        <v>7632</v>
      </c>
      <c r="I64" s="7">
        <f t="shared" si="9"/>
        <v>381</v>
      </c>
      <c r="J64" s="6">
        <v>0</v>
      </c>
      <c r="K64" s="6" t="s">
        <v>23</v>
      </c>
      <c r="L64" s="8">
        <v>0</v>
      </c>
      <c r="M64" s="8">
        <f t="shared" ref="M64:M67" si="17">I64*Q64+P64+O64*115</f>
        <v>3327</v>
      </c>
      <c r="N64" s="4" t="s">
        <v>24</v>
      </c>
      <c r="O64" s="6">
        <v>4</v>
      </c>
      <c r="P64" s="6">
        <v>200</v>
      </c>
      <c r="Q64" s="6">
        <v>7</v>
      </c>
      <c r="R64" s="4" t="s">
        <v>157</v>
      </c>
      <c r="S64" s="3">
        <v>1150</v>
      </c>
      <c r="T64" s="4" t="s">
        <v>26</v>
      </c>
    </row>
    <row r="65" spans="1:20" ht="14.4">
      <c r="A65" s="3">
        <v>64</v>
      </c>
      <c r="B65" s="4" t="s">
        <v>20</v>
      </c>
      <c r="C65" s="4" t="s">
        <v>152</v>
      </c>
      <c r="D65" s="4" t="s">
        <v>158</v>
      </c>
      <c r="E65" s="6">
        <f t="shared" si="16"/>
        <v>0</v>
      </c>
      <c r="F65" s="6">
        <v>3431</v>
      </c>
      <c r="G65" s="7">
        <v>0</v>
      </c>
      <c r="H65" s="6">
        <v>3514</v>
      </c>
      <c r="I65" s="7">
        <f t="shared" si="9"/>
        <v>83</v>
      </c>
      <c r="J65" s="6">
        <v>0</v>
      </c>
      <c r="K65" s="6" t="s">
        <v>23</v>
      </c>
      <c r="L65" s="8">
        <v>0</v>
      </c>
      <c r="M65" s="8">
        <f t="shared" si="17"/>
        <v>1241</v>
      </c>
      <c r="N65" s="4" t="s">
        <v>24</v>
      </c>
      <c r="O65" s="6">
        <v>4</v>
      </c>
      <c r="P65" s="6">
        <v>200</v>
      </c>
      <c r="Q65" s="6">
        <v>7</v>
      </c>
      <c r="R65" s="4" t="s">
        <v>159</v>
      </c>
      <c r="S65" s="3">
        <v>1150</v>
      </c>
      <c r="T65" s="4" t="s">
        <v>26</v>
      </c>
    </row>
    <row r="66" spans="1:20" ht="14.4">
      <c r="A66" s="3">
        <v>65</v>
      </c>
      <c r="B66" s="4" t="s">
        <v>20</v>
      </c>
      <c r="C66" s="4" t="s">
        <v>160</v>
      </c>
      <c r="D66" s="4" t="s">
        <v>161</v>
      </c>
      <c r="E66" s="6">
        <f t="shared" si="16"/>
        <v>0</v>
      </c>
      <c r="F66" s="6">
        <v>3675</v>
      </c>
      <c r="G66" s="7">
        <v>0</v>
      </c>
      <c r="H66" s="6">
        <v>3969</v>
      </c>
      <c r="I66" s="7">
        <f t="shared" si="9"/>
        <v>294</v>
      </c>
      <c r="J66" s="6">
        <v>0</v>
      </c>
      <c r="K66" s="6" t="s">
        <v>23</v>
      </c>
      <c r="L66" s="8">
        <v>0</v>
      </c>
      <c r="M66" s="8">
        <f t="shared" si="17"/>
        <v>2718</v>
      </c>
      <c r="N66" s="4" t="s">
        <v>24</v>
      </c>
      <c r="O66" s="6">
        <v>4</v>
      </c>
      <c r="P66" s="6">
        <v>200</v>
      </c>
      <c r="Q66" s="6">
        <v>7</v>
      </c>
      <c r="R66" s="4" t="s">
        <v>162</v>
      </c>
      <c r="S66" s="3">
        <v>1150</v>
      </c>
      <c r="T66" s="4" t="s">
        <v>26</v>
      </c>
    </row>
    <row r="67" spans="1:20" ht="14.4">
      <c r="A67" s="3">
        <v>66</v>
      </c>
      <c r="B67" s="4" t="s">
        <v>20</v>
      </c>
      <c r="C67" s="4" t="s">
        <v>160</v>
      </c>
      <c r="D67" s="4" t="s">
        <v>163</v>
      </c>
      <c r="E67" s="6">
        <f t="shared" si="16"/>
        <v>0</v>
      </c>
      <c r="F67" s="6">
        <v>8490</v>
      </c>
      <c r="G67" s="7">
        <v>0</v>
      </c>
      <c r="H67" s="6">
        <v>9413</v>
      </c>
      <c r="I67" s="7">
        <f t="shared" si="9"/>
        <v>923</v>
      </c>
      <c r="J67" s="6">
        <v>0</v>
      </c>
      <c r="K67" s="6" t="s">
        <v>23</v>
      </c>
      <c r="L67" s="8">
        <v>0</v>
      </c>
      <c r="M67" s="8">
        <f t="shared" si="17"/>
        <v>7121</v>
      </c>
      <c r="N67" s="4" t="s">
        <v>24</v>
      </c>
      <c r="O67" s="6">
        <v>4</v>
      </c>
      <c r="P67" s="6">
        <v>200</v>
      </c>
      <c r="Q67" s="6">
        <v>7</v>
      </c>
      <c r="R67" s="4" t="s">
        <v>164</v>
      </c>
      <c r="S67" s="3">
        <v>1150</v>
      </c>
      <c r="T67" s="4" t="s">
        <v>26</v>
      </c>
    </row>
    <row r="68" spans="1:20" ht="14.4">
      <c r="A68" s="3">
        <v>67</v>
      </c>
      <c r="B68" s="4" t="s">
        <v>20</v>
      </c>
      <c r="C68" s="4" t="s">
        <v>160</v>
      </c>
      <c r="D68" s="4" t="s">
        <v>165</v>
      </c>
      <c r="E68" s="6">
        <f t="shared" si="16"/>
        <v>0</v>
      </c>
      <c r="F68" s="6">
        <v>0</v>
      </c>
      <c r="G68" s="7">
        <v>0</v>
      </c>
      <c r="H68" s="6">
        <v>0</v>
      </c>
      <c r="I68" s="7">
        <f t="shared" si="9"/>
        <v>0</v>
      </c>
      <c r="J68" s="6">
        <v>0</v>
      </c>
      <c r="K68" s="6">
        <v>0</v>
      </c>
      <c r="L68" s="8">
        <v>0</v>
      </c>
      <c r="M68" s="8">
        <v>0</v>
      </c>
      <c r="N68" s="4" t="s">
        <v>24</v>
      </c>
      <c r="O68" s="6">
        <v>4</v>
      </c>
      <c r="P68" s="6">
        <v>200</v>
      </c>
      <c r="Q68" s="6">
        <v>7</v>
      </c>
      <c r="R68" s="4"/>
      <c r="S68" s="3">
        <v>1150</v>
      </c>
      <c r="T68" s="4" t="s">
        <v>26</v>
      </c>
    </row>
    <row r="69" spans="1:20" ht="14.4">
      <c r="A69" s="3">
        <v>68</v>
      </c>
      <c r="B69" s="4" t="s">
        <v>20</v>
      </c>
      <c r="C69" s="4" t="s">
        <v>160</v>
      </c>
      <c r="D69" s="4" t="s">
        <v>166</v>
      </c>
      <c r="E69" s="6">
        <f t="shared" si="16"/>
        <v>0</v>
      </c>
      <c r="F69" s="6">
        <v>0</v>
      </c>
      <c r="G69" s="7">
        <v>0</v>
      </c>
      <c r="H69" s="6">
        <v>0</v>
      </c>
      <c r="I69" s="7">
        <f t="shared" si="9"/>
        <v>0</v>
      </c>
      <c r="J69" s="6">
        <v>0</v>
      </c>
      <c r="K69" s="6">
        <v>0</v>
      </c>
      <c r="L69" s="8">
        <v>0</v>
      </c>
      <c r="M69" s="8">
        <v>0</v>
      </c>
      <c r="N69" s="4" t="s">
        <v>24</v>
      </c>
      <c r="O69" s="6">
        <v>4</v>
      </c>
      <c r="P69" s="6">
        <v>200</v>
      </c>
      <c r="Q69" s="6">
        <v>7</v>
      </c>
      <c r="R69" s="4"/>
      <c r="S69" s="3">
        <v>1150</v>
      </c>
      <c r="T69" s="4" t="s">
        <v>26</v>
      </c>
    </row>
    <row r="70" spans="1:20" ht="14.4">
      <c r="A70" s="3">
        <v>69</v>
      </c>
      <c r="B70" s="4" t="s">
        <v>20</v>
      </c>
      <c r="C70" s="4" t="s">
        <v>167</v>
      </c>
      <c r="D70" s="4" t="s">
        <v>168</v>
      </c>
      <c r="E70" s="6">
        <f t="shared" si="16"/>
        <v>0</v>
      </c>
      <c r="F70" s="6">
        <v>0</v>
      </c>
      <c r="G70" s="7">
        <v>0</v>
      </c>
      <c r="H70" s="6">
        <v>0</v>
      </c>
      <c r="I70" s="7">
        <f t="shared" si="9"/>
        <v>0</v>
      </c>
      <c r="J70" s="6">
        <v>0</v>
      </c>
      <c r="K70" s="6">
        <v>0</v>
      </c>
      <c r="L70" s="8">
        <v>0</v>
      </c>
      <c r="M70" s="8">
        <v>0</v>
      </c>
      <c r="N70" s="4" t="s">
        <v>24</v>
      </c>
      <c r="O70" s="6">
        <v>4</v>
      </c>
      <c r="P70" s="6">
        <v>200</v>
      </c>
      <c r="Q70" s="6">
        <v>7</v>
      </c>
      <c r="R70" s="4"/>
      <c r="S70" s="3">
        <v>2300</v>
      </c>
      <c r="T70" s="4" t="s">
        <v>169</v>
      </c>
    </row>
    <row r="71" spans="1:20" ht="14.4">
      <c r="A71" s="3">
        <v>70</v>
      </c>
      <c r="B71" s="4" t="s">
        <v>20</v>
      </c>
      <c r="C71" s="4" t="s">
        <v>167</v>
      </c>
      <c r="D71" s="4" t="s">
        <v>170</v>
      </c>
      <c r="E71" s="6">
        <f t="shared" si="16"/>
        <v>0</v>
      </c>
      <c r="F71" s="6">
        <v>0</v>
      </c>
      <c r="G71" s="7">
        <v>0</v>
      </c>
      <c r="H71" s="6">
        <v>0</v>
      </c>
      <c r="I71" s="7">
        <f t="shared" si="9"/>
        <v>0</v>
      </c>
      <c r="J71" s="6">
        <v>0</v>
      </c>
      <c r="K71" s="6">
        <v>0</v>
      </c>
      <c r="L71" s="8">
        <v>0</v>
      </c>
      <c r="M71" s="8">
        <v>0</v>
      </c>
      <c r="N71" s="4" t="s">
        <v>24</v>
      </c>
      <c r="O71" s="6">
        <v>4</v>
      </c>
      <c r="P71" s="6">
        <v>200</v>
      </c>
      <c r="Q71" s="6">
        <v>7</v>
      </c>
      <c r="R71" s="4" t="s">
        <v>171</v>
      </c>
      <c r="S71" s="3">
        <v>2300</v>
      </c>
      <c r="T71" s="4" t="s">
        <v>169</v>
      </c>
    </row>
    <row r="72" spans="1:20" ht="14.4">
      <c r="A72" s="3">
        <v>71</v>
      </c>
      <c r="B72" s="4" t="s">
        <v>20</v>
      </c>
      <c r="C72" s="4" t="s">
        <v>167</v>
      </c>
      <c r="D72" s="4" t="s">
        <v>172</v>
      </c>
      <c r="E72" s="6">
        <f t="shared" si="16"/>
        <v>0</v>
      </c>
      <c r="F72" s="6">
        <v>0</v>
      </c>
      <c r="G72" s="7">
        <v>0</v>
      </c>
      <c r="H72" s="6">
        <v>0</v>
      </c>
      <c r="I72" s="7">
        <f t="shared" si="9"/>
        <v>0</v>
      </c>
      <c r="J72" s="6">
        <v>0</v>
      </c>
      <c r="K72" s="6">
        <v>0</v>
      </c>
      <c r="L72" s="8">
        <v>0</v>
      </c>
      <c r="M72" s="8">
        <v>0</v>
      </c>
      <c r="N72" s="4" t="s">
        <v>24</v>
      </c>
      <c r="O72" s="6">
        <v>4</v>
      </c>
      <c r="P72" s="6">
        <v>200</v>
      </c>
      <c r="Q72" s="6">
        <v>7</v>
      </c>
      <c r="R72" s="4"/>
      <c r="S72" s="3">
        <v>2300</v>
      </c>
      <c r="T72" s="4" t="s">
        <v>169</v>
      </c>
    </row>
    <row r="73" spans="1:20" ht="14.4">
      <c r="A73" s="3">
        <v>72</v>
      </c>
      <c r="B73" s="4" t="s">
        <v>20</v>
      </c>
      <c r="C73" s="4" t="s">
        <v>167</v>
      </c>
      <c r="D73" s="4" t="s">
        <v>173</v>
      </c>
      <c r="E73" s="6">
        <f t="shared" si="16"/>
        <v>0</v>
      </c>
      <c r="F73" s="6">
        <v>0</v>
      </c>
      <c r="G73" s="7">
        <v>0</v>
      </c>
      <c r="H73" s="6">
        <v>0</v>
      </c>
      <c r="I73" s="7">
        <f t="shared" si="9"/>
        <v>0</v>
      </c>
      <c r="J73" s="6">
        <v>0</v>
      </c>
      <c r="K73" s="6">
        <v>0</v>
      </c>
      <c r="L73" s="8">
        <v>0</v>
      </c>
      <c r="M73" s="8">
        <v>0</v>
      </c>
      <c r="N73" s="4" t="s">
        <v>24</v>
      </c>
      <c r="O73" s="6">
        <v>4</v>
      </c>
      <c r="P73" s="6">
        <v>200</v>
      </c>
      <c r="Q73" s="6">
        <v>7</v>
      </c>
      <c r="R73" s="4"/>
      <c r="S73" s="3">
        <v>2300</v>
      </c>
      <c r="T73" s="4" t="s">
        <v>169</v>
      </c>
    </row>
    <row r="74" spans="1:20" ht="14.4">
      <c r="A74" s="3">
        <v>1</v>
      </c>
      <c r="B74" s="4" t="s">
        <v>174</v>
      </c>
      <c r="C74" s="4" t="s">
        <v>21</v>
      </c>
      <c r="D74" s="4" t="s">
        <v>175</v>
      </c>
      <c r="E74" s="6">
        <f t="shared" si="16"/>
        <v>0</v>
      </c>
      <c r="F74" s="6">
        <v>16626</v>
      </c>
      <c r="G74" s="7">
        <v>0</v>
      </c>
      <c r="H74" s="6">
        <v>16694</v>
      </c>
      <c r="I74" s="7">
        <f t="shared" si="9"/>
        <v>68</v>
      </c>
      <c r="J74" s="6">
        <v>0</v>
      </c>
      <c r="K74" s="6" t="s">
        <v>23</v>
      </c>
      <c r="L74" s="8">
        <v>0</v>
      </c>
      <c r="M74" s="8">
        <f t="shared" ref="M74:M80" si="18">I74*Q74+P74+O74*115</f>
        <v>1136</v>
      </c>
      <c r="N74" s="4" t="s">
        <v>24</v>
      </c>
      <c r="O74" s="6">
        <v>4</v>
      </c>
      <c r="P74" s="6">
        <v>200</v>
      </c>
      <c r="Q74" s="6">
        <v>7</v>
      </c>
      <c r="R74" s="4" t="s">
        <v>176</v>
      </c>
      <c r="S74" s="3">
        <v>1290</v>
      </c>
      <c r="T74" s="4" t="s">
        <v>177</v>
      </c>
    </row>
    <row r="75" spans="1:20" ht="14.4">
      <c r="A75" s="3">
        <v>2</v>
      </c>
      <c r="B75" s="4" t="s">
        <v>174</v>
      </c>
      <c r="C75" s="4" t="s">
        <v>21</v>
      </c>
      <c r="D75" s="4" t="s">
        <v>178</v>
      </c>
      <c r="E75" s="6">
        <f t="shared" si="16"/>
        <v>0</v>
      </c>
      <c r="F75" s="6">
        <v>21423</v>
      </c>
      <c r="G75" s="7">
        <v>0</v>
      </c>
      <c r="H75" s="6">
        <v>21900</v>
      </c>
      <c r="I75" s="7">
        <f t="shared" si="9"/>
        <v>477</v>
      </c>
      <c r="J75" s="6">
        <v>0</v>
      </c>
      <c r="K75" s="6" t="s">
        <v>23</v>
      </c>
      <c r="L75" s="8">
        <v>0</v>
      </c>
      <c r="M75" s="8">
        <f t="shared" si="18"/>
        <v>3999</v>
      </c>
      <c r="N75" s="4" t="s">
        <v>24</v>
      </c>
      <c r="O75" s="6">
        <v>4</v>
      </c>
      <c r="P75" s="6">
        <v>200</v>
      </c>
      <c r="Q75" s="6">
        <v>7</v>
      </c>
      <c r="R75" s="4" t="s">
        <v>179</v>
      </c>
      <c r="S75" s="3">
        <v>1290</v>
      </c>
      <c r="T75" s="4" t="s">
        <v>177</v>
      </c>
    </row>
    <row r="76" spans="1:20" ht="14.4">
      <c r="A76" s="3">
        <v>3</v>
      </c>
      <c r="B76" s="4" t="s">
        <v>174</v>
      </c>
      <c r="C76" s="4" t="s">
        <v>21</v>
      </c>
      <c r="D76" s="4" t="s">
        <v>180</v>
      </c>
      <c r="E76" s="6">
        <f t="shared" si="16"/>
        <v>0</v>
      </c>
      <c r="F76" s="6">
        <v>474</v>
      </c>
      <c r="G76" s="7">
        <v>0</v>
      </c>
      <c r="H76" s="6">
        <v>938</v>
      </c>
      <c r="I76" s="7">
        <f t="shared" si="9"/>
        <v>464</v>
      </c>
      <c r="J76" s="6">
        <v>0</v>
      </c>
      <c r="K76" s="6">
        <v>0</v>
      </c>
      <c r="L76" s="8">
        <v>0</v>
      </c>
      <c r="M76" s="8">
        <f t="shared" si="18"/>
        <v>3908</v>
      </c>
      <c r="N76" s="4" t="s">
        <v>24</v>
      </c>
      <c r="O76" s="6">
        <v>4</v>
      </c>
      <c r="P76" s="6">
        <v>200</v>
      </c>
      <c r="Q76" s="6">
        <v>7</v>
      </c>
      <c r="R76" s="4" t="s">
        <v>181</v>
      </c>
      <c r="S76" s="3">
        <v>1290</v>
      </c>
      <c r="T76" s="4" t="s">
        <v>177</v>
      </c>
    </row>
    <row r="77" spans="1:20" ht="14.4">
      <c r="A77" s="3">
        <v>4</v>
      </c>
      <c r="B77" s="4" t="s">
        <v>174</v>
      </c>
      <c r="C77" s="4" t="s">
        <v>21</v>
      </c>
      <c r="D77" s="4" t="s">
        <v>182</v>
      </c>
      <c r="E77" s="6">
        <f t="shared" si="16"/>
        <v>0</v>
      </c>
      <c r="F77" s="6">
        <v>84</v>
      </c>
      <c r="G77" s="7">
        <v>0</v>
      </c>
      <c r="H77" s="6">
        <v>85</v>
      </c>
      <c r="I77" s="7">
        <f t="shared" si="9"/>
        <v>1</v>
      </c>
      <c r="J77" s="6">
        <v>0</v>
      </c>
      <c r="K77" s="6">
        <v>0</v>
      </c>
      <c r="L77" s="8">
        <v>0</v>
      </c>
      <c r="M77" s="8">
        <f t="shared" si="18"/>
        <v>667</v>
      </c>
      <c r="N77" s="4" t="s">
        <v>24</v>
      </c>
      <c r="O77" s="6">
        <v>4</v>
      </c>
      <c r="P77" s="6">
        <v>200</v>
      </c>
      <c r="Q77" s="6">
        <v>7</v>
      </c>
      <c r="R77" s="4" t="s">
        <v>183</v>
      </c>
      <c r="S77" s="3">
        <v>1290</v>
      </c>
      <c r="T77" s="4" t="s">
        <v>177</v>
      </c>
    </row>
    <row r="78" spans="1:20" ht="14.4">
      <c r="A78" s="3">
        <v>5</v>
      </c>
      <c r="B78" s="4" t="s">
        <v>174</v>
      </c>
      <c r="C78" s="4" t="s">
        <v>21</v>
      </c>
      <c r="D78" s="4" t="s">
        <v>184</v>
      </c>
      <c r="E78" s="6">
        <v>27478</v>
      </c>
      <c r="F78" s="6">
        <v>28324</v>
      </c>
      <c r="G78" s="7">
        <f t="shared" ref="G78:G79" si="19">F78-E78</f>
        <v>846</v>
      </c>
      <c r="H78" s="6">
        <v>28988</v>
      </c>
      <c r="I78" s="7">
        <f t="shared" si="9"/>
        <v>664</v>
      </c>
      <c r="J78" s="6" t="s">
        <v>23</v>
      </c>
      <c r="K78" s="6" t="s">
        <v>23</v>
      </c>
      <c r="L78" s="8">
        <f t="shared" ref="L78:L79" si="20">G78*Q78+P78+O78*115</f>
        <v>6582</v>
      </c>
      <c r="M78" s="8">
        <f t="shared" si="18"/>
        <v>5308</v>
      </c>
      <c r="N78" s="4" t="s">
        <v>24</v>
      </c>
      <c r="O78" s="6">
        <v>4</v>
      </c>
      <c r="P78" s="6">
        <v>200</v>
      </c>
      <c r="Q78" s="6">
        <v>7</v>
      </c>
      <c r="R78" s="4" t="s">
        <v>185</v>
      </c>
      <c r="S78" s="3">
        <v>995</v>
      </c>
      <c r="T78" s="4" t="s">
        <v>186</v>
      </c>
    </row>
    <row r="79" spans="1:20" ht="14.4">
      <c r="A79" s="3">
        <v>6</v>
      </c>
      <c r="B79" s="4" t="s">
        <v>174</v>
      </c>
      <c r="C79" s="4" t="s">
        <v>21</v>
      </c>
      <c r="D79" s="4" t="s">
        <v>187</v>
      </c>
      <c r="E79" s="6">
        <v>18945</v>
      </c>
      <c r="F79" s="6">
        <v>19089</v>
      </c>
      <c r="G79" s="7">
        <f t="shared" si="19"/>
        <v>144</v>
      </c>
      <c r="H79" s="6">
        <v>20853</v>
      </c>
      <c r="I79" s="7">
        <f t="shared" si="9"/>
        <v>1764</v>
      </c>
      <c r="J79" s="6">
        <v>0</v>
      </c>
      <c r="K79" s="6" t="s">
        <v>23</v>
      </c>
      <c r="L79" s="8">
        <f t="shared" si="20"/>
        <v>1668</v>
      </c>
      <c r="M79" s="8">
        <f t="shared" si="18"/>
        <v>13008</v>
      </c>
      <c r="N79" s="4" t="s">
        <v>24</v>
      </c>
      <c r="O79" s="6">
        <v>4</v>
      </c>
      <c r="P79" s="6">
        <v>200</v>
      </c>
      <c r="Q79" s="6">
        <v>7</v>
      </c>
      <c r="R79" s="4" t="s">
        <v>188</v>
      </c>
      <c r="S79" s="3">
        <v>995</v>
      </c>
      <c r="T79" s="4" t="s">
        <v>186</v>
      </c>
    </row>
    <row r="80" spans="1:20" ht="14.4">
      <c r="A80" s="3">
        <v>7</v>
      </c>
      <c r="B80" s="4" t="s">
        <v>174</v>
      </c>
      <c r="C80" s="4" t="s">
        <v>21</v>
      </c>
      <c r="D80" s="4" t="s">
        <v>189</v>
      </c>
      <c r="E80" s="6">
        <f t="shared" ref="E80:E84" si="21">J80</f>
        <v>0</v>
      </c>
      <c r="F80" s="6">
        <v>16919</v>
      </c>
      <c r="G80" s="7">
        <v>0</v>
      </c>
      <c r="H80" s="6">
        <v>17366</v>
      </c>
      <c r="I80" s="7">
        <f t="shared" si="9"/>
        <v>447</v>
      </c>
      <c r="J80" s="6">
        <v>0</v>
      </c>
      <c r="K80" s="6" t="s">
        <v>23</v>
      </c>
      <c r="L80" s="8">
        <v>0</v>
      </c>
      <c r="M80" s="8">
        <f t="shared" si="18"/>
        <v>3789</v>
      </c>
      <c r="N80" s="4" t="s">
        <v>24</v>
      </c>
      <c r="O80" s="6">
        <v>4</v>
      </c>
      <c r="P80" s="6">
        <v>200</v>
      </c>
      <c r="Q80" s="6">
        <v>7</v>
      </c>
      <c r="R80" s="4" t="s">
        <v>190</v>
      </c>
      <c r="S80" s="3">
        <v>1290</v>
      </c>
      <c r="T80" s="4" t="s">
        <v>177</v>
      </c>
    </row>
    <row r="81" spans="1:20" ht="14.4">
      <c r="A81" s="3">
        <v>8</v>
      </c>
      <c r="B81" s="4" t="s">
        <v>174</v>
      </c>
      <c r="C81" s="4" t="s">
        <v>21</v>
      </c>
      <c r="D81" s="4" t="s">
        <v>191</v>
      </c>
      <c r="E81" s="6">
        <f t="shared" si="21"/>
        <v>0</v>
      </c>
      <c r="F81" s="6">
        <v>0</v>
      </c>
      <c r="G81" s="7">
        <v>0</v>
      </c>
      <c r="H81" s="6">
        <v>0</v>
      </c>
      <c r="I81" s="7">
        <f t="shared" si="9"/>
        <v>0</v>
      </c>
      <c r="J81" s="6">
        <v>0</v>
      </c>
      <c r="K81" s="6">
        <v>0</v>
      </c>
      <c r="L81" s="8">
        <v>0</v>
      </c>
      <c r="M81" s="8">
        <v>0</v>
      </c>
      <c r="N81" s="4" t="s">
        <v>24</v>
      </c>
      <c r="O81" s="6">
        <v>4</v>
      </c>
      <c r="P81" s="6">
        <v>200</v>
      </c>
      <c r="Q81" s="6">
        <v>7</v>
      </c>
      <c r="R81" s="4"/>
      <c r="S81" s="3">
        <v>1290</v>
      </c>
      <c r="T81" s="4" t="s">
        <v>177</v>
      </c>
    </row>
    <row r="82" spans="1:20" ht="14.4">
      <c r="A82" s="3">
        <v>9</v>
      </c>
      <c r="B82" s="4" t="s">
        <v>174</v>
      </c>
      <c r="C82" s="4" t="s">
        <v>33</v>
      </c>
      <c r="D82" s="4" t="s">
        <v>192</v>
      </c>
      <c r="E82" s="6">
        <f t="shared" si="21"/>
        <v>0</v>
      </c>
      <c r="F82" s="6">
        <v>0</v>
      </c>
      <c r="G82" s="7">
        <v>0</v>
      </c>
      <c r="H82" s="6">
        <v>0</v>
      </c>
      <c r="I82" s="7">
        <f t="shared" si="9"/>
        <v>0</v>
      </c>
      <c r="J82" s="6">
        <v>0</v>
      </c>
      <c r="K82" s="6">
        <v>0</v>
      </c>
      <c r="L82" s="8">
        <v>0</v>
      </c>
      <c r="M82" s="8">
        <v>0</v>
      </c>
      <c r="N82" s="4" t="s">
        <v>24</v>
      </c>
      <c r="O82" s="6">
        <v>4</v>
      </c>
      <c r="P82" s="6">
        <v>200</v>
      </c>
      <c r="Q82" s="6">
        <v>7</v>
      </c>
      <c r="R82" s="4" t="s">
        <v>193</v>
      </c>
      <c r="S82" s="3">
        <v>1290</v>
      </c>
      <c r="T82" s="4" t="s">
        <v>177</v>
      </c>
    </row>
    <row r="83" spans="1:20" ht="14.4">
      <c r="A83" s="3">
        <v>10</v>
      </c>
      <c r="B83" s="4" t="s">
        <v>174</v>
      </c>
      <c r="C83" s="4" t="s">
        <v>33</v>
      </c>
      <c r="D83" s="4" t="s">
        <v>194</v>
      </c>
      <c r="E83" s="6">
        <f t="shared" si="21"/>
        <v>0</v>
      </c>
      <c r="F83" s="6">
        <v>5858</v>
      </c>
      <c r="G83" s="7">
        <v>0</v>
      </c>
      <c r="H83" s="6">
        <v>6227</v>
      </c>
      <c r="I83" s="7">
        <f t="shared" si="9"/>
        <v>369</v>
      </c>
      <c r="J83" s="6">
        <v>0</v>
      </c>
      <c r="K83" s="6" t="s">
        <v>23</v>
      </c>
      <c r="L83" s="8">
        <v>0</v>
      </c>
      <c r="M83" s="8">
        <f t="shared" ref="M83:M88" si="22">I83*Q83+P83+O83*115</f>
        <v>3243</v>
      </c>
      <c r="N83" s="4" t="s">
        <v>24</v>
      </c>
      <c r="O83" s="6">
        <v>4</v>
      </c>
      <c r="P83" s="6">
        <v>200</v>
      </c>
      <c r="Q83" s="6">
        <v>7</v>
      </c>
      <c r="R83" s="4" t="s">
        <v>195</v>
      </c>
      <c r="S83" s="3">
        <v>1290</v>
      </c>
      <c r="T83" s="4" t="s">
        <v>177</v>
      </c>
    </row>
    <row r="84" spans="1:20" ht="14.4">
      <c r="A84" s="3">
        <v>11</v>
      </c>
      <c r="B84" s="4" t="s">
        <v>174</v>
      </c>
      <c r="C84" s="4" t="s">
        <v>33</v>
      </c>
      <c r="D84" s="4" t="s">
        <v>196</v>
      </c>
      <c r="E84" s="6">
        <f t="shared" si="21"/>
        <v>0</v>
      </c>
      <c r="F84" s="6">
        <v>21625</v>
      </c>
      <c r="G84" s="7">
        <v>0</v>
      </c>
      <c r="H84" s="6">
        <v>21936</v>
      </c>
      <c r="I84" s="7">
        <f t="shared" si="9"/>
        <v>311</v>
      </c>
      <c r="J84" s="6">
        <v>0</v>
      </c>
      <c r="K84" s="6" t="s">
        <v>23</v>
      </c>
      <c r="L84" s="8">
        <v>0</v>
      </c>
      <c r="M84" s="8">
        <f t="shared" si="22"/>
        <v>2837</v>
      </c>
      <c r="N84" s="4" t="s">
        <v>24</v>
      </c>
      <c r="O84" s="6">
        <v>4</v>
      </c>
      <c r="P84" s="6">
        <v>200</v>
      </c>
      <c r="Q84" s="6">
        <v>7</v>
      </c>
      <c r="R84" s="4" t="s">
        <v>197</v>
      </c>
      <c r="S84" s="3">
        <v>1290</v>
      </c>
      <c r="T84" s="4" t="s">
        <v>177</v>
      </c>
    </row>
    <row r="85" spans="1:20" ht="14.4">
      <c r="A85" s="3">
        <v>12</v>
      </c>
      <c r="B85" s="4" t="s">
        <v>174</v>
      </c>
      <c r="C85" s="4" t="s">
        <v>33</v>
      </c>
      <c r="D85" s="4" t="s">
        <v>198</v>
      </c>
      <c r="E85" s="6">
        <v>11000</v>
      </c>
      <c r="F85" s="6">
        <v>11976</v>
      </c>
      <c r="G85" s="7">
        <f>F85-E85</f>
        <v>976</v>
      </c>
      <c r="H85" s="6">
        <v>13163</v>
      </c>
      <c r="I85" s="7">
        <f t="shared" si="9"/>
        <v>1187</v>
      </c>
      <c r="J85" s="6" t="s">
        <v>23</v>
      </c>
      <c r="K85" s="6" t="s">
        <v>23</v>
      </c>
      <c r="L85" s="8">
        <f>G85*Q85+P85+O85*115</f>
        <v>7492</v>
      </c>
      <c r="M85" s="8">
        <f t="shared" si="22"/>
        <v>8969</v>
      </c>
      <c r="N85" s="4" t="s">
        <v>24</v>
      </c>
      <c r="O85" s="6">
        <v>4</v>
      </c>
      <c r="P85" s="6">
        <v>200</v>
      </c>
      <c r="Q85" s="6">
        <v>7</v>
      </c>
      <c r="R85" s="4" t="s">
        <v>199</v>
      </c>
      <c r="S85" s="3">
        <v>1290</v>
      </c>
      <c r="T85" s="4" t="s">
        <v>177</v>
      </c>
    </row>
    <row r="86" spans="1:20" ht="14.4">
      <c r="A86" s="3">
        <v>13</v>
      </c>
      <c r="B86" s="4" t="s">
        <v>174</v>
      </c>
      <c r="C86" s="4" t="s">
        <v>33</v>
      </c>
      <c r="D86" s="4" t="s">
        <v>200</v>
      </c>
      <c r="E86" s="6">
        <f t="shared" ref="E86:E89" si="23">J86</f>
        <v>0</v>
      </c>
      <c r="F86" s="6">
        <v>30093</v>
      </c>
      <c r="G86" s="7">
        <v>0</v>
      </c>
      <c r="H86" s="6">
        <v>30708</v>
      </c>
      <c r="I86" s="7">
        <f t="shared" si="9"/>
        <v>615</v>
      </c>
      <c r="J86" s="6">
        <v>0</v>
      </c>
      <c r="K86" s="6" t="s">
        <v>23</v>
      </c>
      <c r="L86" s="8">
        <v>0</v>
      </c>
      <c r="M86" s="8">
        <f t="shared" si="22"/>
        <v>4965</v>
      </c>
      <c r="N86" s="4" t="s">
        <v>24</v>
      </c>
      <c r="O86" s="6">
        <v>4</v>
      </c>
      <c r="P86" s="6">
        <v>200</v>
      </c>
      <c r="Q86" s="6">
        <v>7</v>
      </c>
      <c r="R86" s="4" t="s">
        <v>201</v>
      </c>
      <c r="S86" s="3">
        <v>995</v>
      </c>
      <c r="T86" s="4" t="s">
        <v>186</v>
      </c>
    </row>
    <row r="87" spans="1:20" ht="14.4">
      <c r="A87" s="3">
        <v>14</v>
      </c>
      <c r="B87" s="4" t="s">
        <v>174</v>
      </c>
      <c r="C87" s="4" t="s">
        <v>33</v>
      </c>
      <c r="D87" s="4" t="s">
        <v>202</v>
      </c>
      <c r="E87" s="6">
        <f t="shared" si="23"/>
        <v>0</v>
      </c>
      <c r="F87" s="6">
        <v>3492</v>
      </c>
      <c r="G87" s="7">
        <v>0</v>
      </c>
      <c r="H87" s="6">
        <v>3615</v>
      </c>
      <c r="I87" s="7">
        <f t="shared" si="9"/>
        <v>123</v>
      </c>
      <c r="J87" s="6">
        <v>0</v>
      </c>
      <c r="K87" s="6" t="s">
        <v>23</v>
      </c>
      <c r="L87" s="8">
        <v>0</v>
      </c>
      <c r="M87" s="8">
        <f t="shared" si="22"/>
        <v>1521</v>
      </c>
      <c r="N87" s="4" t="s">
        <v>24</v>
      </c>
      <c r="O87" s="6">
        <v>4</v>
      </c>
      <c r="P87" s="6">
        <v>200</v>
      </c>
      <c r="Q87" s="6">
        <v>7</v>
      </c>
      <c r="R87" s="4" t="s">
        <v>203</v>
      </c>
      <c r="S87" s="3">
        <v>995</v>
      </c>
      <c r="T87" s="4" t="s">
        <v>186</v>
      </c>
    </row>
    <row r="88" spans="1:20" ht="14.4">
      <c r="A88" s="3">
        <v>15</v>
      </c>
      <c r="B88" s="4" t="s">
        <v>174</v>
      </c>
      <c r="C88" s="4" t="s">
        <v>33</v>
      </c>
      <c r="D88" s="4" t="s">
        <v>204</v>
      </c>
      <c r="E88" s="6">
        <f t="shared" si="23"/>
        <v>0</v>
      </c>
      <c r="F88" s="6">
        <v>18622</v>
      </c>
      <c r="G88" s="7">
        <v>0</v>
      </c>
      <c r="H88" s="6">
        <v>19366</v>
      </c>
      <c r="I88" s="7">
        <f t="shared" si="9"/>
        <v>744</v>
      </c>
      <c r="J88" s="6">
        <v>0</v>
      </c>
      <c r="K88" s="6" t="s">
        <v>23</v>
      </c>
      <c r="L88" s="8">
        <v>0</v>
      </c>
      <c r="M88" s="8">
        <f t="shared" si="22"/>
        <v>5868</v>
      </c>
      <c r="N88" s="4" t="s">
        <v>24</v>
      </c>
      <c r="O88" s="6">
        <v>4</v>
      </c>
      <c r="P88" s="6">
        <v>200</v>
      </c>
      <c r="Q88" s="6">
        <v>7</v>
      </c>
      <c r="R88" s="4" t="s">
        <v>205</v>
      </c>
      <c r="S88" s="3">
        <v>1290</v>
      </c>
      <c r="T88" s="4" t="s">
        <v>177</v>
      </c>
    </row>
    <row r="89" spans="1:20" ht="14.4">
      <c r="A89" s="3">
        <v>16</v>
      </c>
      <c r="B89" s="4" t="s">
        <v>174</v>
      </c>
      <c r="C89" s="4" t="s">
        <v>33</v>
      </c>
      <c r="D89" s="4" t="s">
        <v>206</v>
      </c>
      <c r="E89" s="6">
        <f t="shared" si="23"/>
        <v>0</v>
      </c>
      <c r="F89" s="6">
        <v>0</v>
      </c>
      <c r="G89" s="7">
        <v>0</v>
      </c>
      <c r="H89" s="6">
        <v>0</v>
      </c>
      <c r="I89" s="7">
        <f t="shared" si="9"/>
        <v>0</v>
      </c>
      <c r="J89" s="6">
        <v>0</v>
      </c>
      <c r="K89" s="6">
        <v>0</v>
      </c>
      <c r="L89" s="8">
        <v>0</v>
      </c>
      <c r="M89" s="8">
        <v>0</v>
      </c>
      <c r="N89" s="4" t="s">
        <v>24</v>
      </c>
      <c r="O89" s="6">
        <v>4</v>
      </c>
      <c r="P89" s="6">
        <v>200</v>
      </c>
      <c r="Q89" s="6">
        <v>7</v>
      </c>
      <c r="R89" s="4" t="s">
        <v>207</v>
      </c>
      <c r="S89" s="3">
        <v>1290</v>
      </c>
      <c r="T89" s="4" t="s">
        <v>177</v>
      </c>
    </row>
    <row r="90" spans="1:20" ht="14.4">
      <c r="A90" s="3">
        <v>17</v>
      </c>
      <c r="B90" s="4" t="s">
        <v>174</v>
      </c>
      <c r="C90" s="4" t="s">
        <v>42</v>
      </c>
      <c r="D90" s="4" t="s">
        <v>208</v>
      </c>
      <c r="E90" s="6">
        <v>12203</v>
      </c>
      <c r="F90" s="6">
        <v>12517</v>
      </c>
      <c r="G90" s="7">
        <f t="shared" ref="G90:G92" si="24">F90-E90</f>
        <v>314</v>
      </c>
      <c r="H90" s="6">
        <v>12809</v>
      </c>
      <c r="I90" s="7">
        <f t="shared" si="9"/>
        <v>292</v>
      </c>
      <c r="J90" s="6" t="s">
        <v>23</v>
      </c>
      <c r="K90" s="6" t="s">
        <v>23</v>
      </c>
      <c r="L90" s="8">
        <f t="shared" ref="L90:L91" si="25">G90*Q90+P90+O90*115</f>
        <v>2858</v>
      </c>
      <c r="M90" s="8">
        <f t="shared" ref="M90:M91" si="26">I90*Q90+P90+O90*115</f>
        <v>2704</v>
      </c>
      <c r="N90" s="4" t="s">
        <v>24</v>
      </c>
      <c r="O90" s="6">
        <v>4</v>
      </c>
      <c r="P90" s="6">
        <v>200</v>
      </c>
      <c r="Q90" s="6">
        <v>7</v>
      </c>
      <c r="R90" s="4" t="s">
        <v>209</v>
      </c>
      <c r="S90" s="3">
        <v>1290</v>
      </c>
      <c r="T90" s="4" t="s">
        <v>177</v>
      </c>
    </row>
    <row r="91" spans="1:20" ht="14.4">
      <c r="A91" s="3">
        <v>18</v>
      </c>
      <c r="B91" s="4" t="s">
        <v>174</v>
      </c>
      <c r="C91" s="4" t="s">
        <v>42</v>
      </c>
      <c r="D91" s="4" t="s">
        <v>210</v>
      </c>
      <c r="E91" s="6">
        <v>26908</v>
      </c>
      <c r="F91" s="6">
        <v>27358</v>
      </c>
      <c r="G91" s="7">
        <f t="shared" si="24"/>
        <v>450</v>
      </c>
      <c r="H91" s="6">
        <v>27985</v>
      </c>
      <c r="I91" s="7">
        <f t="shared" si="9"/>
        <v>627</v>
      </c>
      <c r="J91" s="6">
        <v>0</v>
      </c>
      <c r="K91" s="6" t="s">
        <v>23</v>
      </c>
      <c r="L91" s="8">
        <f t="shared" si="25"/>
        <v>3810</v>
      </c>
      <c r="M91" s="8">
        <f t="shared" si="26"/>
        <v>5049</v>
      </c>
      <c r="N91" s="4" t="s">
        <v>24</v>
      </c>
      <c r="O91" s="6">
        <v>4</v>
      </c>
      <c r="P91" s="6">
        <v>200</v>
      </c>
      <c r="Q91" s="6">
        <v>7</v>
      </c>
      <c r="R91" s="4" t="s">
        <v>211</v>
      </c>
      <c r="S91" s="3">
        <v>1290</v>
      </c>
      <c r="T91" s="4" t="s">
        <v>177</v>
      </c>
    </row>
    <row r="92" spans="1:20" ht="14.4">
      <c r="A92" s="3">
        <v>19</v>
      </c>
      <c r="B92" s="4" t="s">
        <v>174</v>
      </c>
      <c r="C92" s="4" t="s">
        <v>42</v>
      </c>
      <c r="D92" s="4" t="s">
        <v>212</v>
      </c>
      <c r="E92" s="6">
        <f t="shared" ref="E92:E98" si="27">J92</f>
        <v>0</v>
      </c>
      <c r="F92" s="6">
        <v>0</v>
      </c>
      <c r="G92" s="7">
        <f t="shared" si="24"/>
        <v>0</v>
      </c>
      <c r="H92" s="6">
        <v>0</v>
      </c>
      <c r="I92" s="7">
        <f t="shared" si="9"/>
        <v>0</v>
      </c>
      <c r="J92" s="6">
        <v>0</v>
      </c>
      <c r="K92" s="6">
        <v>0</v>
      </c>
      <c r="L92" s="8">
        <v>0</v>
      </c>
      <c r="M92" s="8">
        <v>0</v>
      </c>
      <c r="N92" s="4"/>
      <c r="O92" s="6">
        <v>4</v>
      </c>
      <c r="P92" s="6">
        <v>200</v>
      </c>
      <c r="Q92" s="6">
        <v>7</v>
      </c>
      <c r="R92" s="4" t="s">
        <v>213</v>
      </c>
      <c r="S92" s="3">
        <v>1290</v>
      </c>
      <c r="T92" s="4" t="s">
        <v>177</v>
      </c>
    </row>
    <row r="93" spans="1:20" ht="14.4">
      <c r="A93" s="3">
        <v>20</v>
      </c>
      <c r="B93" s="4" t="s">
        <v>174</v>
      </c>
      <c r="C93" s="4" t="s">
        <v>42</v>
      </c>
      <c r="D93" s="4" t="s">
        <v>214</v>
      </c>
      <c r="E93" s="6">
        <f t="shared" si="27"/>
        <v>0</v>
      </c>
      <c r="F93" s="6">
        <v>5933</v>
      </c>
      <c r="G93" s="7">
        <v>0</v>
      </c>
      <c r="H93" s="6">
        <v>6391</v>
      </c>
      <c r="I93" s="7">
        <f t="shared" si="9"/>
        <v>458</v>
      </c>
      <c r="J93" s="6">
        <v>0</v>
      </c>
      <c r="K93" s="6" t="s">
        <v>23</v>
      </c>
      <c r="L93" s="8">
        <v>0</v>
      </c>
      <c r="M93" s="8">
        <f t="shared" ref="M93:M95" si="28">I93*Q93+P93+O93*115</f>
        <v>3866</v>
      </c>
      <c r="N93" s="4" t="s">
        <v>24</v>
      </c>
      <c r="O93" s="6">
        <v>4</v>
      </c>
      <c r="P93" s="6">
        <v>200</v>
      </c>
      <c r="Q93" s="6">
        <v>7</v>
      </c>
      <c r="R93" s="4" t="s">
        <v>215</v>
      </c>
      <c r="S93" s="3">
        <v>1290</v>
      </c>
      <c r="T93" s="4" t="s">
        <v>177</v>
      </c>
    </row>
    <row r="94" spans="1:20" ht="14.4">
      <c r="A94" s="3">
        <v>21</v>
      </c>
      <c r="B94" s="4" t="s">
        <v>174</v>
      </c>
      <c r="C94" s="4" t="s">
        <v>42</v>
      </c>
      <c r="D94" s="4" t="s">
        <v>216</v>
      </c>
      <c r="E94" s="6">
        <f t="shared" si="27"/>
        <v>0</v>
      </c>
      <c r="F94" s="6">
        <v>16405</v>
      </c>
      <c r="G94" s="7">
        <v>0</v>
      </c>
      <c r="H94" s="6">
        <v>16623</v>
      </c>
      <c r="I94" s="7">
        <f t="shared" si="9"/>
        <v>218</v>
      </c>
      <c r="J94" s="6">
        <v>0</v>
      </c>
      <c r="K94" s="6" t="s">
        <v>23</v>
      </c>
      <c r="L94" s="8">
        <v>0</v>
      </c>
      <c r="M94" s="8">
        <f t="shared" si="28"/>
        <v>2186</v>
      </c>
      <c r="N94" s="4" t="s">
        <v>24</v>
      </c>
      <c r="O94" s="6">
        <v>4</v>
      </c>
      <c r="P94" s="6">
        <v>200</v>
      </c>
      <c r="Q94" s="6">
        <v>7</v>
      </c>
      <c r="R94" s="4" t="s">
        <v>217</v>
      </c>
      <c r="S94" s="3">
        <v>995</v>
      </c>
      <c r="T94" s="4" t="s">
        <v>186</v>
      </c>
    </row>
    <row r="95" spans="1:20" ht="14.4">
      <c r="A95" s="3">
        <v>22</v>
      </c>
      <c r="B95" s="4" t="s">
        <v>174</v>
      </c>
      <c r="C95" s="4" t="s">
        <v>42</v>
      </c>
      <c r="D95" s="4" t="s">
        <v>218</v>
      </c>
      <c r="E95" s="6">
        <f t="shared" si="27"/>
        <v>0</v>
      </c>
      <c r="F95" s="6">
        <v>13411</v>
      </c>
      <c r="G95" s="7">
        <v>0</v>
      </c>
      <c r="H95" s="6">
        <v>13677</v>
      </c>
      <c r="I95" s="7">
        <f t="shared" si="9"/>
        <v>266</v>
      </c>
      <c r="J95" s="6">
        <v>0</v>
      </c>
      <c r="K95" s="6" t="s">
        <v>23</v>
      </c>
      <c r="L95" s="8">
        <v>0</v>
      </c>
      <c r="M95" s="8">
        <f t="shared" si="28"/>
        <v>2522</v>
      </c>
      <c r="N95" s="4" t="s">
        <v>24</v>
      </c>
      <c r="O95" s="6">
        <v>4</v>
      </c>
      <c r="P95" s="6">
        <v>200</v>
      </c>
      <c r="Q95" s="6">
        <v>7</v>
      </c>
      <c r="R95" s="4" t="s">
        <v>219</v>
      </c>
      <c r="S95" s="3">
        <v>995</v>
      </c>
      <c r="T95" s="4" t="s">
        <v>186</v>
      </c>
    </row>
    <row r="96" spans="1:20" ht="14.4">
      <c r="A96" s="3">
        <v>23</v>
      </c>
      <c r="B96" s="4" t="s">
        <v>174</v>
      </c>
      <c r="C96" s="4" t="s">
        <v>42</v>
      </c>
      <c r="D96" s="4" t="s">
        <v>220</v>
      </c>
      <c r="E96" s="6">
        <f t="shared" si="27"/>
        <v>0</v>
      </c>
      <c r="F96" s="6">
        <v>0</v>
      </c>
      <c r="G96" s="7">
        <v>0</v>
      </c>
      <c r="H96" s="6">
        <v>0</v>
      </c>
      <c r="I96" s="7">
        <f t="shared" si="9"/>
        <v>0</v>
      </c>
      <c r="J96" s="6">
        <v>0</v>
      </c>
      <c r="K96" s="6">
        <v>0</v>
      </c>
      <c r="L96" s="8">
        <v>0</v>
      </c>
      <c r="M96" s="8">
        <v>0</v>
      </c>
      <c r="N96" s="4" t="s">
        <v>24</v>
      </c>
      <c r="O96" s="6">
        <v>4</v>
      </c>
      <c r="P96" s="6">
        <v>200</v>
      </c>
      <c r="Q96" s="6">
        <v>7</v>
      </c>
      <c r="R96" s="4"/>
      <c r="S96" s="3">
        <v>1290</v>
      </c>
      <c r="T96" s="4" t="s">
        <v>177</v>
      </c>
    </row>
    <row r="97" spans="1:20" ht="14.4">
      <c r="A97" s="3">
        <v>24</v>
      </c>
      <c r="B97" s="4" t="s">
        <v>174</v>
      </c>
      <c r="C97" s="4" t="s">
        <v>42</v>
      </c>
      <c r="D97" s="4" t="s">
        <v>221</v>
      </c>
      <c r="E97" s="6">
        <f t="shared" si="27"/>
        <v>0</v>
      </c>
      <c r="F97" s="6">
        <v>0</v>
      </c>
      <c r="G97" s="7">
        <v>0</v>
      </c>
      <c r="H97" s="6">
        <v>0</v>
      </c>
      <c r="I97" s="7">
        <f t="shared" si="9"/>
        <v>0</v>
      </c>
      <c r="J97" s="6">
        <v>0</v>
      </c>
      <c r="K97" s="6">
        <v>0</v>
      </c>
      <c r="L97" s="8">
        <v>0</v>
      </c>
      <c r="M97" s="8">
        <v>0</v>
      </c>
      <c r="N97" s="4" t="s">
        <v>24</v>
      </c>
      <c r="O97" s="6">
        <v>4</v>
      </c>
      <c r="P97" s="6">
        <v>200</v>
      </c>
      <c r="Q97" s="6">
        <v>7</v>
      </c>
      <c r="R97" s="4"/>
      <c r="S97" s="3">
        <v>1290</v>
      </c>
      <c r="T97" s="4" t="s">
        <v>177</v>
      </c>
    </row>
    <row r="98" spans="1:20" ht="14.4">
      <c r="A98" s="3">
        <v>25</v>
      </c>
      <c r="B98" s="4" t="s">
        <v>174</v>
      </c>
      <c r="C98" s="4" t="s">
        <v>51</v>
      </c>
      <c r="D98" s="4" t="s">
        <v>222</v>
      </c>
      <c r="E98" s="6">
        <f t="shared" si="27"/>
        <v>0</v>
      </c>
      <c r="F98" s="6">
        <v>18502</v>
      </c>
      <c r="G98" s="7">
        <v>0</v>
      </c>
      <c r="H98" s="6">
        <v>18805</v>
      </c>
      <c r="I98" s="7">
        <f t="shared" si="9"/>
        <v>303</v>
      </c>
      <c r="J98" s="6">
        <v>0</v>
      </c>
      <c r="K98" s="6" t="s">
        <v>23</v>
      </c>
      <c r="L98" s="8">
        <v>0</v>
      </c>
      <c r="M98" s="8">
        <f t="shared" ref="M98:M117" si="29">I98*Q98+P98+O98*115</f>
        <v>2781</v>
      </c>
      <c r="N98" s="4" t="s">
        <v>24</v>
      </c>
      <c r="O98" s="6">
        <v>4</v>
      </c>
      <c r="P98" s="6">
        <v>200</v>
      </c>
      <c r="Q98" s="6">
        <v>7</v>
      </c>
      <c r="R98" s="4" t="s">
        <v>223</v>
      </c>
      <c r="S98" s="3">
        <v>1290</v>
      </c>
      <c r="T98" s="4" t="s">
        <v>177</v>
      </c>
    </row>
    <row r="99" spans="1:20" ht="14.4">
      <c r="A99" s="3">
        <v>26</v>
      </c>
      <c r="B99" s="4" t="s">
        <v>174</v>
      </c>
      <c r="C99" s="4" t="s">
        <v>51</v>
      </c>
      <c r="D99" s="4" t="s">
        <v>224</v>
      </c>
      <c r="E99" s="6">
        <v>10692</v>
      </c>
      <c r="F99" s="6">
        <v>11501</v>
      </c>
      <c r="G99" s="7">
        <f>F99-E99</f>
        <v>809</v>
      </c>
      <c r="H99" s="6">
        <v>11777</v>
      </c>
      <c r="I99" s="7">
        <f t="shared" si="9"/>
        <v>276</v>
      </c>
      <c r="J99" s="6" t="s">
        <v>23</v>
      </c>
      <c r="K99" s="6" t="s">
        <v>23</v>
      </c>
      <c r="L99" s="8">
        <f>G99*Q99+P99+O99*115</f>
        <v>6323</v>
      </c>
      <c r="M99" s="8">
        <f t="shared" si="29"/>
        <v>2592</v>
      </c>
      <c r="N99" s="4" t="s">
        <v>24</v>
      </c>
      <c r="O99" s="6">
        <v>4</v>
      </c>
      <c r="P99" s="6">
        <v>200</v>
      </c>
      <c r="Q99" s="6">
        <v>7</v>
      </c>
      <c r="R99" s="4"/>
      <c r="S99" s="3">
        <v>1290</v>
      </c>
      <c r="T99" s="4" t="s">
        <v>177</v>
      </c>
    </row>
    <row r="100" spans="1:20" ht="14.4">
      <c r="A100" s="3">
        <v>27</v>
      </c>
      <c r="B100" s="4" t="s">
        <v>174</v>
      </c>
      <c r="C100" s="4" t="s">
        <v>51</v>
      </c>
      <c r="D100" s="4" t="s">
        <v>225</v>
      </c>
      <c r="E100" s="6">
        <f>J100</f>
        <v>0</v>
      </c>
      <c r="F100" s="6">
        <v>13994</v>
      </c>
      <c r="G100" s="7">
        <v>0</v>
      </c>
      <c r="H100" s="6">
        <v>14431</v>
      </c>
      <c r="I100" s="7">
        <f t="shared" si="9"/>
        <v>437</v>
      </c>
      <c r="J100" s="6">
        <v>0</v>
      </c>
      <c r="K100" s="6" t="s">
        <v>23</v>
      </c>
      <c r="L100" s="8">
        <v>0</v>
      </c>
      <c r="M100" s="8">
        <f t="shared" si="29"/>
        <v>3719</v>
      </c>
      <c r="N100" s="4" t="s">
        <v>24</v>
      </c>
      <c r="O100" s="6">
        <v>4</v>
      </c>
      <c r="P100" s="6">
        <v>200</v>
      </c>
      <c r="Q100" s="6">
        <v>7</v>
      </c>
      <c r="R100" s="4" t="s">
        <v>226</v>
      </c>
      <c r="S100" s="3">
        <v>1290</v>
      </c>
      <c r="T100" s="4" t="s">
        <v>177</v>
      </c>
    </row>
    <row r="101" spans="1:20" ht="14.4">
      <c r="A101" s="3">
        <v>28</v>
      </c>
      <c r="B101" s="4" t="s">
        <v>174</v>
      </c>
      <c r="C101" s="4" t="s">
        <v>51</v>
      </c>
      <c r="D101" s="4" t="s">
        <v>227</v>
      </c>
      <c r="E101" s="6">
        <v>3978</v>
      </c>
      <c r="F101" s="6">
        <v>4309</v>
      </c>
      <c r="G101" s="7">
        <f>F101-E101</f>
        <v>331</v>
      </c>
      <c r="H101" s="6">
        <v>4559</v>
      </c>
      <c r="I101" s="7">
        <f t="shared" si="9"/>
        <v>250</v>
      </c>
      <c r="J101" s="6" t="s">
        <v>23</v>
      </c>
      <c r="K101" s="6" t="s">
        <v>23</v>
      </c>
      <c r="L101" s="8">
        <f>G101*Q101+P101+O101*115</f>
        <v>2977</v>
      </c>
      <c r="M101" s="8">
        <f t="shared" si="29"/>
        <v>2410</v>
      </c>
      <c r="N101" s="4" t="s">
        <v>24</v>
      </c>
      <c r="O101" s="6">
        <v>4</v>
      </c>
      <c r="P101" s="6">
        <v>200</v>
      </c>
      <c r="Q101" s="6">
        <v>7</v>
      </c>
      <c r="R101" s="4" t="s">
        <v>151</v>
      </c>
      <c r="S101" s="3">
        <v>1290</v>
      </c>
      <c r="T101" s="4" t="s">
        <v>177</v>
      </c>
    </row>
    <row r="102" spans="1:20" ht="14.4">
      <c r="A102" s="3">
        <v>29</v>
      </c>
      <c r="B102" s="4" t="s">
        <v>174</v>
      </c>
      <c r="C102" s="4" t="s">
        <v>51</v>
      </c>
      <c r="D102" s="4" t="s">
        <v>228</v>
      </c>
      <c r="E102" s="6">
        <f>J102</f>
        <v>0</v>
      </c>
      <c r="F102" s="6">
        <v>12734</v>
      </c>
      <c r="G102" s="7">
        <v>0</v>
      </c>
      <c r="H102" s="6">
        <v>12812</v>
      </c>
      <c r="I102" s="7">
        <f t="shared" si="9"/>
        <v>78</v>
      </c>
      <c r="J102" s="6">
        <v>0</v>
      </c>
      <c r="K102" s="6" t="s">
        <v>23</v>
      </c>
      <c r="L102" s="8">
        <v>0</v>
      </c>
      <c r="M102" s="8">
        <f t="shared" si="29"/>
        <v>1206</v>
      </c>
      <c r="N102" s="4" t="s">
        <v>24</v>
      </c>
      <c r="O102" s="6">
        <v>4</v>
      </c>
      <c r="P102" s="6">
        <v>200</v>
      </c>
      <c r="Q102" s="6">
        <v>7</v>
      </c>
      <c r="R102" s="4" t="s">
        <v>229</v>
      </c>
      <c r="S102" s="3">
        <v>995</v>
      </c>
      <c r="T102" s="4" t="s">
        <v>186</v>
      </c>
    </row>
    <row r="103" spans="1:20" ht="14.4">
      <c r="A103" s="3">
        <v>30</v>
      </c>
      <c r="B103" s="4" t="s">
        <v>174</v>
      </c>
      <c r="C103" s="4" t="s">
        <v>51</v>
      </c>
      <c r="D103" s="4" t="s">
        <v>230</v>
      </c>
      <c r="E103" s="6">
        <v>2982</v>
      </c>
      <c r="F103" s="6">
        <v>3333</v>
      </c>
      <c r="G103" s="7">
        <f>F103-E103</f>
        <v>351</v>
      </c>
      <c r="H103" s="6">
        <v>3406</v>
      </c>
      <c r="I103" s="7">
        <f t="shared" si="9"/>
        <v>73</v>
      </c>
      <c r="J103" s="6" t="s">
        <v>23</v>
      </c>
      <c r="K103" s="6" t="s">
        <v>23</v>
      </c>
      <c r="L103" s="8">
        <f>G103*Q103+P103+O103*115</f>
        <v>3117</v>
      </c>
      <c r="M103" s="8">
        <f t="shared" si="29"/>
        <v>1171</v>
      </c>
      <c r="N103" s="4" t="s">
        <v>24</v>
      </c>
      <c r="O103" s="6">
        <v>4</v>
      </c>
      <c r="P103" s="6">
        <v>200</v>
      </c>
      <c r="Q103" s="6">
        <v>7</v>
      </c>
      <c r="R103" s="4" t="s">
        <v>231</v>
      </c>
      <c r="S103" s="3">
        <v>995</v>
      </c>
      <c r="T103" s="4" t="s">
        <v>186</v>
      </c>
    </row>
    <row r="104" spans="1:20" ht="14.4">
      <c r="A104" s="3">
        <v>31</v>
      </c>
      <c r="B104" s="4" t="s">
        <v>174</v>
      </c>
      <c r="C104" s="4" t="s">
        <v>51</v>
      </c>
      <c r="D104" s="4" t="s">
        <v>232</v>
      </c>
      <c r="E104" s="6">
        <f t="shared" ref="E104:E108" si="30">J104</f>
        <v>0</v>
      </c>
      <c r="F104" s="6">
        <v>7524</v>
      </c>
      <c r="G104" s="7">
        <v>0</v>
      </c>
      <c r="H104" s="6">
        <v>7823</v>
      </c>
      <c r="I104" s="7">
        <f t="shared" si="9"/>
        <v>299</v>
      </c>
      <c r="J104" s="6">
        <v>0</v>
      </c>
      <c r="K104" s="6" t="s">
        <v>23</v>
      </c>
      <c r="L104" s="8">
        <v>0</v>
      </c>
      <c r="M104" s="8">
        <f t="shared" si="29"/>
        <v>2753</v>
      </c>
      <c r="N104" s="4" t="s">
        <v>24</v>
      </c>
      <c r="O104" s="6">
        <v>4</v>
      </c>
      <c r="P104" s="6">
        <v>200</v>
      </c>
      <c r="Q104" s="6">
        <v>7</v>
      </c>
      <c r="R104" s="4" t="s">
        <v>233</v>
      </c>
      <c r="S104" s="3">
        <v>1290</v>
      </c>
      <c r="T104" s="4" t="s">
        <v>177</v>
      </c>
    </row>
    <row r="105" spans="1:20" ht="14.4">
      <c r="A105" s="3">
        <v>32</v>
      </c>
      <c r="B105" s="4" t="s">
        <v>174</v>
      </c>
      <c r="C105" s="4" t="s">
        <v>51</v>
      </c>
      <c r="D105" s="4" t="s">
        <v>234</v>
      </c>
      <c r="E105" s="6">
        <f t="shared" si="30"/>
        <v>0</v>
      </c>
      <c r="F105" s="6">
        <v>8884</v>
      </c>
      <c r="G105" s="7">
        <v>0</v>
      </c>
      <c r="H105" s="6">
        <v>9592</v>
      </c>
      <c r="I105" s="7">
        <f t="shared" si="9"/>
        <v>708</v>
      </c>
      <c r="J105" s="6">
        <v>0</v>
      </c>
      <c r="K105" s="6" t="s">
        <v>23</v>
      </c>
      <c r="L105" s="8">
        <v>0</v>
      </c>
      <c r="M105" s="8">
        <f t="shared" si="29"/>
        <v>5616</v>
      </c>
      <c r="N105" s="4" t="s">
        <v>24</v>
      </c>
      <c r="O105" s="6">
        <v>4</v>
      </c>
      <c r="P105" s="6">
        <v>200</v>
      </c>
      <c r="Q105" s="6">
        <v>7</v>
      </c>
      <c r="R105" s="4" t="s">
        <v>235</v>
      </c>
      <c r="S105" s="3">
        <v>1290</v>
      </c>
      <c r="T105" s="4" t="s">
        <v>177</v>
      </c>
    </row>
    <row r="106" spans="1:20" ht="14.4">
      <c r="A106" s="3">
        <v>33</v>
      </c>
      <c r="B106" s="4" t="s">
        <v>174</v>
      </c>
      <c r="C106" s="4" t="s">
        <v>60</v>
      </c>
      <c r="D106" s="4" t="s">
        <v>236</v>
      </c>
      <c r="E106" s="6">
        <f t="shared" si="30"/>
        <v>0</v>
      </c>
      <c r="F106" s="6">
        <v>10043</v>
      </c>
      <c r="G106" s="7">
        <v>0</v>
      </c>
      <c r="H106" s="6">
        <v>10347</v>
      </c>
      <c r="I106" s="7">
        <f t="shared" si="9"/>
        <v>304</v>
      </c>
      <c r="J106" s="6">
        <v>0</v>
      </c>
      <c r="K106" s="6" t="s">
        <v>23</v>
      </c>
      <c r="L106" s="8">
        <v>0</v>
      </c>
      <c r="M106" s="8">
        <f t="shared" si="29"/>
        <v>2788</v>
      </c>
      <c r="N106" s="4" t="s">
        <v>24</v>
      </c>
      <c r="O106" s="6">
        <v>4</v>
      </c>
      <c r="P106" s="6">
        <v>200</v>
      </c>
      <c r="Q106" s="6">
        <v>7</v>
      </c>
      <c r="R106" s="4" t="s">
        <v>237</v>
      </c>
      <c r="S106" s="3">
        <v>1290</v>
      </c>
      <c r="T106" s="4" t="s">
        <v>177</v>
      </c>
    </row>
    <row r="107" spans="1:20" ht="14.4">
      <c r="A107" s="3">
        <v>34</v>
      </c>
      <c r="B107" s="4" t="s">
        <v>174</v>
      </c>
      <c r="C107" s="4" t="s">
        <v>60</v>
      </c>
      <c r="D107" s="4" t="s">
        <v>238</v>
      </c>
      <c r="E107" s="6">
        <f t="shared" si="30"/>
        <v>0</v>
      </c>
      <c r="F107" s="6">
        <v>10036</v>
      </c>
      <c r="G107" s="7">
        <v>0</v>
      </c>
      <c r="H107" s="6">
        <v>10278</v>
      </c>
      <c r="I107" s="7">
        <f t="shared" si="9"/>
        <v>242</v>
      </c>
      <c r="J107" s="6">
        <v>0</v>
      </c>
      <c r="K107" s="6" t="s">
        <v>23</v>
      </c>
      <c r="L107" s="8">
        <v>0</v>
      </c>
      <c r="M107" s="8">
        <f t="shared" si="29"/>
        <v>2354</v>
      </c>
      <c r="N107" s="4" t="s">
        <v>24</v>
      </c>
      <c r="O107" s="6">
        <v>4</v>
      </c>
      <c r="P107" s="6">
        <v>200</v>
      </c>
      <c r="Q107" s="6">
        <v>7</v>
      </c>
      <c r="R107" s="4" t="s">
        <v>239</v>
      </c>
      <c r="S107" s="3">
        <v>1290</v>
      </c>
      <c r="T107" s="4" t="s">
        <v>177</v>
      </c>
    </row>
    <row r="108" spans="1:20" ht="14.4">
      <c r="A108" s="3">
        <v>35</v>
      </c>
      <c r="B108" s="4" t="s">
        <v>174</v>
      </c>
      <c r="C108" s="4" t="s">
        <v>60</v>
      </c>
      <c r="D108" s="4" t="s">
        <v>240</v>
      </c>
      <c r="E108" s="6">
        <f t="shared" si="30"/>
        <v>0</v>
      </c>
      <c r="F108" s="6">
        <v>5322</v>
      </c>
      <c r="G108" s="7">
        <v>0</v>
      </c>
      <c r="H108" s="6">
        <v>5493</v>
      </c>
      <c r="I108" s="7">
        <f t="shared" si="9"/>
        <v>171</v>
      </c>
      <c r="J108" s="6">
        <v>0</v>
      </c>
      <c r="K108" s="6" t="s">
        <v>23</v>
      </c>
      <c r="L108" s="8">
        <v>0</v>
      </c>
      <c r="M108" s="8">
        <f t="shared" si="29"/>
        <v>1857</v>
      </c>
      <c r="N108" s="4" t="s">
        <v>24</v>
      </c>
      <c r="O108" s="6">
        <v>4</v>
      </c>
      <c r="P108" s="6">
        <v>200</v>
      </c>
      <c r="Q108" s="6">
        <v>7</v>
      </c>
      <c r="R108" s="4" t="s">
        <v>241</v>
      </c>
      <c r="S108" s="3">
        <v>1290</v>
      </c>
      <c r="T108" s="4" t="s">
        <v>177</v>
      </c>
    </row>
    <row r="109" spans="1:20" ht="14.4">
      <c r="A109" s="3">
        <v>36</v>
      </c>
      <c r="B109" s="4" t="s">
        <v>174</v>
      </c>
      <c r="C109" s="4" t="s">
        <v>60</v>
      </c>
      <c r="D109" s="4" t="s">
        <v>242</v>
      </c>
      <c r="E109" s="6">
        <v>14951</v>
      </c>
      <c r="F109" s="6">
        <v>14976</v>
      </c>
      <c r="G109" s="7">
        <f>F109-E109</f>
        <v>25</v>
      </c>
      <c r="H109" s="6">
        <v>15003</v>
      </c>
      <c r="I109" s="7">
        <f t="shared" si="9"/>
        <v>27</v>
      </c>
      <c r="J109" s="6" t="s">
        <v>23</v>
      </c>
      <c r="K109" s="6" t="s">
        <v>23</v>
      </c>
      <c r="L109" s="8">
        <f>G109*Q109+P109+O109*115</f>
        <v>835</v>
      </c>
      <c r="M109" s="8">
        <f t="shared" si="29"/>
        <v>849</v>
      </c>
      <c r="N109" s="4" t="s">
        <v>24</v>
      </c>
      <c r="O109" s="6">
        <v>4</v>
      </c>
      <c r="P109" s="6">
        <v>200</v>
      </c>
      <c r="Q109" s="6">
        <v>7</v>
      </c>
      <c r="R109" s="4" t="s">
        <v>243</v>
      </c>
      <c r="S109" s="3">
        <v>1290</v>
      </c>
      <c r="T109" s="4" t="s">
        <v>177</v>
      </c>
    </row>
    <row r="110" spans="1:20" ht="14.4">
      <c r="A110" s="3">
        <v>37</v>
      </c>
      <c r="B110" s="4" t="s">
        <v>174</v>
      </c>
      <c r="C110" s="4" t="s">
        <v>60</v>
      </c>
      <c r="D110" s="4" t="s">
        <v>244</v>
      </c>
      <c r="E110" s="6">
        <f t="shared" ref="E110:E111" si="31">J110</f>
        <v>0</v>
      </c>
      <c r="F110" s="6">
        <v>15289</v>
      </c>
      <c r="G110" s="7">
        <v>0</v>
      </c>
      <c r="H110" s="6">
        <v>15511</v>
      </c>
      <c r="I110" s="7">
        <f t="shared" si="9"/>
        <v>222</v>
      </c>
      <c r="J110" s="6">
        <v>0</v>
      </c>
      <c r="K110" s="6" t="s">
        <v>23</v>
      </c>
      <c r="L110" s="8">
        <v>0</v>
      </c>
      <c r="M110" s="8">
        <f t="shared" si="29"/>
        <v>2214</v>
      </c>
      <c r="N110" s="4" t="s">
        <v>24</v>
      </c>
      <c r="O110" s="6">
        <v>4</v>
      </c>
      <c r="P110" s="6">
        <v>200</v>
      </c>
      <c r="Q110" s="6">
        <v>7</v>
      </c>
      <c r="R110" s="4" t="s">
        <v>245</v>
      </c>
      <c r="S110" s="3">
        <v>995</v>
      </c>
      <c r="T110" s="4" t="s">
        <v>186</v>
      </c>
    </row>
    <row r="111" spans="1:20" ht="14.4">
      <c r="A111" s="3">
        <v>38</v>
      </c>
      <c r="B111" s="4" t="s">
        <v>174</v>
      </c>
      <c r="C111" s="4" t="s">
        <v>60</v>
      </c>
      <c r="D111" s="4" t="s">
        <v>246</v>
      </c>
      <c r="E111" s="6">
        <f t="shared" si="31"/>
        <v>0</v>
      </c>
      <c r="F111" s="6">
        <v>5228</v>
      </c>
      <c r="G111" s="7">
        <v>0</v>
      </c>
      <c r="H111" s="6">
        <v>5228</v>
      </c>
      <c r="I111" s="7">
        <f t="shared" si="9"/>
        <v>0</v>
      </c>
      <c r="J111" s="6">
        <v>0</v>
      </c>
      <c r="K111" s="6" t="s">
        <v>23</v>
      </c>
      <c r="L111" s="8">
        <v>0</v>
      </c>
      <c r="M111" s="8">
        <f t="shared" si="29"/>
        <v>660</v>
      </c>
      <c r="N111" s="4" t="s">
        <v>24</v>
      </c>
      <c r="O111" s="6">
        <v>4</v>
      </c>
      <c r="P111" s="6">
        <v>200</v>
      </c>
      <c r="Q111" s="6">
        <v>7</v>
      </c>
      <c r="R111" s="4"/>
      <c r="S111" s="3">
        <v>995</v>
      </c>
      <c r="T111" s="4" t="s">
        <v>186</v>
      </c>
    </row>
    <row r="112" spans="1:20" ht="14.4">
      <c r="A112" s="3">
        <v>39</v>
      </c>
      <c r="B112" s="4" t="s">
        <v>174</v>
      </c>
      <c r="C112" s="4" t="s">
        <v>60</v>
      </c>
      <c r="D112" s="4" t="s">
        <v>247</v>
      </c>
      <c r="E112" s="6">
        <v>20682</v>
      </c>
      <c r="F112" s="6">
        <v>21320</v>
      </c>
      <c r="G112" s="7">
        <f>F112-E112</f>
        <v>638</v>
      </c>
      <c r="H112" s="6">
        <v>21955</v>
      </c>
      <c r="I112" s="7">
        <f t="shared" si="9"/>
        <v>635</v>
      </c>
      <c r="J112" s="6" t="s">
        <v>23</v>
      </c>
      <c r="K112" s="6" t="s">
        <v>23</v>
      </c>
      <c r="L112" s="8">
        <f>G112*Q112+P112+O112*115</f>
        <v>5126</v>
      </c>
      <c r="M112" s="8">
        <f t="shared" si="29"/>
        <v>5105</v>
      </c>
      <c r="N112" s="4" t="s">
        <v>24</v>
      </c>
      <c r="O112" s="6">
        <v>4</v>
      </c>
      <c r="P112" s="6">
        <v>200</v>
      </c>
      <c r="Q112" s="6">
        <v>7</v>
      </c>
      <c r="R112" s="4" t="s">
        <v>248</v>
      </c>
      <c r="S112" s="3">
        <v>1290</v>
      </c>
      <c r="T112" s="4" t="s">
        <v>177</v>
      </c>
    </row>
    <row r="113" spans="1:20" ht="14.4">
      <c r="A113" s="3">
        <v>40</v>
      </c>
      <c r="B113" s="4" t="s">
        <v>174</v>
      </c>
      <c r="C113" s="4" t="s">
        <v>60</v>
      </c>
      <c r="D113" s="4" t="s">
        <v>249</v>
      </c>
      <c r="E113" s="6">
        <f>J113</f>
        <v>0</v>
      </c>
      <c r="F113" s="6">
        <v>15494</v>
      </c>
      <c r="G113" s="7">
        <v>0</v>
      </c>
      <c r="H113" s="6">
        <v>15838</v>
      </c>
      <c r="I113" s="7">
        <f t="shared" si="9"/>
        <v>344</v>
      </c>
      <c r="J113" s="6">
        <v>0</v>
      </c>
      <c r="K113" s="6" t="s">
        <v>23</v>
      </c>
      <c r="L113" s="8">
        <v>0</v>
      </c>
      <c r="M113" s="8">
        <f t="shared" si="29"/>
        <v>3068</v>
      </c>
      <c r="N113" s="4" t="s">
        <v>24</v>
      </c>
      <c r="O113" s="6">
        <v>4</v>
      </c>
      <c r="P113" s="6">
        <v>200</v>
      </c>
      <c r="Q113" s="6">
        <v>7</v>
      </c>
      <c r="R113" s="4" t="s">
        <v>250</v>
      </c>
      <c r="S113" s="3">
        <v>1290</v>
      </c>
      <c r="T113" s="4" t="s">
        <v>177</v>
      </c>
    </row>
    <row r="114" spans="1:20" ht="14.4">
      <c r="A114" s="3">
        <v>41</v>
      </c>
      <c r="B114" s="4" t="s">
        <v>174</v>
      </c>
      <c r="C114" s="4" t="s">
        <v>69</v>
      </c>
      <c r="D114" s="4" t="s">
        <v>251</v>
      </c>
      <c r="E114" s="6">
        <v>9567</v>
      </c>
      <c r="F114" s="6">
        <v>9568</v>
      </c>
      <c r="G114" s="7">
        <v>0</v>
      </c>
      <c r="H114" s="6">
        <v>9568</v>
      </c>
      <c r="I114" s="7">
        <f t="shared" si="9"/>
        <v>0</v>
      </c>
      <c r="J114" s="6" t="s">
        <v>23</v>
      </c>
      <c r="K114" s="6" t="s">
        <v>23</v>
      </c>
      <c r="L114" s="8">
        <f>G114*Q114+P114+O114*115</f>
        <v>660</v>
      </c>
      <c r="M114" s="8">
        <f t="shared" si="29"/>
        <v>660</v>
      </c>
      <c r="N114" s="4" t="s">
        <v>24</v>
      </c>
      <c r="O114" s="6">
        <v>4</v>
      </c>
      <c r="P114" s="6">
        <v>200</v>
      </c>
      <c r="Q114" s="6">
        <v>7</v>
      </c>
      <c r="R114" s="4" t="s">
        <v>252</v>
      </c>
      <c r="S114" s="3">
        <v>1290</v>
      </c>
      <c r="T114" s="4" t="s">
        <v>177</v>
      </c>
    </row>
    <row r="115" spans="1:20" ht="14.4">
      <c r="A115" s="3">
        <v>42</v>
      </c>
      <c r="B115" s="4" t="s">
        <v>174</v>
      </c>
      <c r="C115" s="4" t="s">
        <v>69</v>
      </c>
      <c r="D115" s="4" t="s">
        <v>253</v>
      </c>
      <c r="E115" s="6">
        <f t="shared" ref="E115:E116" si="32">J115</f>
        <v>0</v>
      </c>
      <c r="F115" s="6">
        <v>7724</v>
      </c>
      <c r="G115" s="7">
        <v>0</v>
      </c>
      <c r="H115" s="6">
        <v>8411</v>
      </c>
      <c r="I115" s="7">
        <f t="shared" si="9"/>
        <v>687</v>
      </c>
      <c r="J115" s="6">
        <v>0</v>
      </c>
      <c r="K115" s="6" t="s">
        <v>23</v>
      </c>
      <c r="L115" s="8">
        <v>0</v>
      </c>
      <c r="M115" s="8">
        <f t="shared" si="29"/>
        <v>5469</v>
      </c>
      <c r="N115" s="4" t="s">
        <v>24</v>
      </c>
      <c r="O115" s="6">
        <v>4</v>
      </c>
      <c r="P115" s="6">
        <v>200</v>
      </c>
      <c r="Q115" s="6">
        <v>7</v>
      </c>
      <c r="R115" s="4" t="s">
        <v>254</v>
      </c>
      <c r="S115" s="3">
        <v>1290</v>
      </c>
      <c r="T115" s="4" t="s">
        <v>177</v>
      </c>
    </row>
    <row r="116" spans="1:20" ht="14.4">
      <c r="A116" s="3">
        <v>43</v>
      </c>
      <c r="B116" s="4" t="s">
        <v>174</v>
      </c>
      <c r="C116" s="4" t="s">
        <v>69</v>
      </c>
      <c r="D116" s="4" t="s">
        <v>255</v>
      </c>
      <c r="E116" s="6">
        <f t="shared" si="32"/>
        <v>0</v>
      </c>
      <c r="F116" s="6">
        <v>1511</v>
      </c>
      <c r="G116" s="7">
        <v>0</v>
      </c>
      <c r="H116" s="6">
        <v>1558</v>
      </c>
      <c r="I116" s="7">
        <f t="shared" si="9"/>
        <v>47</v>
      </c>
      <c r="J116" s="6">
        <v>0</v>
      </c>
      <c r="K116" s="6" t="s">
        <v>23</v>
      </c>
      <c r="L116" s="8">
        <v>0</v>
      </c>
      <c r="M116" s="8">
        <f t="shared" si="29"/>
        <v>989</v>
      </c>
      <c r="N116" s="4" t="s">
        <v>24</v>
      </c>
      <c r="O116" s="6">
        <v>4</v>
      </c>
      <c r="P116" s="6">
        <v>200</v>
      </c>
      <c r="Q116" s="6">
        <v>7</v>
      </c>
      <c r="R116" s="4" t="s">
        <v>256</v>
      </c>
      <c r="S116" s="3">
        <v>1290</v>
      </c>
      <c r="T116" s="4" t="s">
        <v>177</v>
      </c>
    </row>
    <row r="117" spans="1:20" ht="14.4">
      <c r="A117" s="3">
        <v>44</v>
      </c>
      <c r="B117" s="4" t="s">
        <v>174</v>
      </c>
      <c r="C117" s="4" t="s">
        <v>69</v>
      </c>
      <c r="D117" s="4" t="s">
        <v>257</v>
      </c>
      <c r="E117" s="6">
        <v>73050</v>
      </c>
      <c r="F117" s="6">
        <v>78232</v>
      </c>
      <c r="G117" s="7">
        <f>F117-E117</f>
        <v>5182</v>
      </c>
      <c r="H117" s="6">
        <v>81939</v>
      </c>
      <c r="I117" s="7">
        <f t="shared" si="9"/>
        <v>3707</v>
      </c>
      <c r="J117" s="6">
        <v>0</v>
      </c>
      <c r="K117" s="6" t="s">
        <v>23</v>
      </c>
      <c r="L117" s="8">
        <f>G117*Q117+P117+O117*115</f>
        <v>36934</v>
      </c>
      <c r="M117" s="8">
        <f t="shared" si="29"/>
        <v>26609</v>
      </c>
      <c r="N117" s="4" t="s">
        <v>24</v>
      </c>
      <c r="O117" s="6">
        <v>4</v>
      </c>
      <c r="P117" s="6">
        <v>200</v>
      </c>
      <c r="Q117" s="6">
        <v>7</v>
      </c>
      <c r="R117" s="4" t="s">
        <v>258</v>
      </c>
      <c r="S117" s="3">
        <v>1290</v>
      </c>
      <c r="T117" s="4" t="s">
        <v>177</v>
      </c>
    </row>
    <row r="118" spans="1:20" ht="14.4">
      <c r="A118" s="3">
        <v>45</v>
      </c>
      <c r="B118" s="4" t="s">
        <v>174</v>
      </c>
      <c r="C118" s="4" t="s">
        <v>69</v>
      </c>
      <c r="D118" s="4" t="s">
        <v>259</v>
      </c>
      <c r="E118" s="6">
        <f t="shared" ref="E118:E119" si="33">J118</f>
        <v>0</v>
      </c>
      <c r="F118" s="6">
        <v>0</v>
      </c>
      <c r="G118" s="7">
        <v>0</v>
      </c>
      <c r="H118" s="6">
        <v>0</v>
      </c>
      <c r="I118" s="7">
        <f t="shared" si="9"/>
        <v>0</v>
      </c>
      <c r="J118" s="6">
        <v>0</v>
      </c>
      <c r="K118" s="6">
        <v>0</v>
      </c>
      <c r="L118" s="8">
        <v>0</v>
      </c>
      <c r="M118" s="8">
        <v>0</v>
      </c>
      <c r="N118" s="4" t="s">
        <v>24</v>
      </c>
      <c r="O118" s="6">
        <v>4</v>
      </c>
      <c r="P118" s="6">
        <v>200</v>
      </c>
      <c r="Q118" s="6">
        <v>7</v>
      </c>
      <c r="R118" s="4"/>
      <c r="S118" s="3">
        <v>995</v>
      </c>
      <c r="T118" s="4" t="s">
        <v>186</v>
      </c>
    </row>
    <row r="119" spans="1:20" ht="14.4">
      <c r="A119" s="3">
        <v>46</v>
      </c>
      <c r="B119" s="4" t="s">
        <v>174</v>
      </c>
      <c r="C119" s="4" t="s">
        <v>69</v>
      </c>
      <c r="D119" s="4" t="s">
        <v>260</v>
      </c>
      <c r="E119" s="6">
        <f t="shared" si="33"/>
        <v>0</v>
      </c>
      <c r="F119" s="6">
        <v>162</v>
      </c>
      <c r="G119" s="7">
        <v>0</v>
      </c>
      <c r="H119" s="6">
        <v>367</v>
      </c>
      <c r="I119" s="7">
        <f t="shared" si="9"/>
        <v>205</v>
      </c>
      <c r="J119" s="6">
        <v>0</v>
      </c>
      <c r="K119" s="6" t="s">
        <v>23</v>
      </c>
      <c r="L119" s="8">
        <v>0</v>
      </c>
      <c r="M119" s="8">
        <f t="shared" ref="M119:M126" si="34">I119*Q119+P119+O119*115</f>
        <v>2095</v>
      </c>
      <c r="N119" s="4" t="s">
        <v>24</v>
      </c>
      <c r="O119" s="6">
        <v>4</v>
      </c>
      <c r="P119" s="6">
        <v>200</v>
      </c>
      <c r="Q119" s="6">
        <v>7</v>
      </c>
      <c r="R119" s="4" t="s">
        <v>261</v>
      </c>
      <c r="S119" s="3">
        <v>995</v>
      </c>
      <c r="T119" s="4" t="s">
        <v>186</v>
      </c>
    </row>
    <row r="120" spans="1:20" ht="14.4">
      <c r="A120" s="3">
        <v>47</v>
      </c>
      <c r="B120" s="4" t="s">
        <v>174</v>
      </c>
      <c r="C120" s="4" t="s">
        <v>69</v>
      </c>
      <c r="D120" s="4" t="s">
        <v>262</v>
      </c>
      <c r="E120" s="6">
        <v>1775</v>
      </c>
      <c r="F120" s="6">
        <v>2156</v>
      </c>
      <c r="G120" s="7">
        <f t="shared" ref="G120:G121" si="35">F120-E120</f>
        <v>381</v>
      </c>
      <c r="H120" s="6">
        <v>2469</v>
      </c>
      <c r="I120" s="7">
        <f t="shared" si="9"/>
        <v>313</v>
      </c>
      <c r="J120" s="6" t="s">
        <v>23</v>
      </c>
      <c r="K120" s="6" t="s">
        <v>23</v>
      </c>
      <c r="L120" s="8">
        <f t="shared" ref="L120:L121" si="36">G120*Q120+P120+O120*115</f>
        <v>3327</v>
      </c>
      <c r="M120" s="8">
        <f t="shared" si="34"/>
        <v>2851</v>
      </c>
      <c r="N120" s="4" t="s">
        <v>24</v>
      </c>
      <c r="O120" s="6">
        <v>4</v>
      </c>
      <c r="P120" s="6">
        <v>200</v>
      </c>
      <c r="Q120" s="6">
        <v>7</v>
      </c>
      <c r="R120" s="4" t="s">
        <v>263</v>
      </c>
      <c r="S120" s="3">
        <v>1290</v>
      </c>
      <c r="T120" s="4" t="s">
        <v>177</v>
      </c>
    </row>
    <row r="121" spans="1:20" ht="14.4">
      <c r="A121" s="3">
        <v>48</v>
      </c>
      <c r="B121" s="4" t="s">
        <v>174</v>
      </c>
      <c r="C121" s="4" t="s">
        <v>69</v>
      </c>
      <c r="D121" s="4" t="s">
        <v>264</v>
      </c>
      <c r="E121" s="6">
        <v>3623</v>
      </c>
      <c r="F121" s="6">
        <v>3846</v>
      </c>
      <c r="G121" s="7">
        <f t="shared" si="35"/>
        <v>223</v>
      </c>
      <c r="H121" s="6">
        <v>3997</v>
      </c>
      <c r="I121" s="7">
        <f t="shared" si="9"/>
        <v>151</v>
      </c>
      <c r="J121" s="6" t="s">
        <v>23</v>
      </c>
      <c r="K121" s="6" t="s">
        <v>23</v>
      </c>
      <c r="L121" s="8">
        <f t="shared" si="36"/>
        <v>2221</v>
      </c>
      <c r="M121" s="8">
        <f t="shared" si="34"/>
        <v>1717</v>
      </c>
      <c r="N121" s="4" t="s">
        <v>24</v>
      </c>
      <c r="O121" s="6">
        <v>4</v>
      </c>
      <c r="P121" s="6">
        <v>200</v>
      </c>
      <c r="Q121" s="6">
        <v>7</v>
      </c>
      <c r="R121" s="4" t="s">
        <v>265</v>
      </c>
      <c r="S121" s="3">
        <v>1290</v>
      </c>
      <c r="T121" s="4" t="s">
        <v>177</v>
      </c>
    </row>
    <row r="122" spans="1:20" ht="14.4">
      <c r="A122" s="3">
        <v>49</v>
      </c>
      <c r="B122" s="4" t="s">
        <v>174</v>
      </c>
      <c r="C122" s="4" t="s">
        <v>77</v>
      </c>
      <c r="D122" s="4" t="s">
        <v>266</v>
      </c>
      <c r="E122" s="6">
        <f t="shared" ref="E122:E124" si="37">J122</f>
        <v>0</v>
      </c>
      <c r="F122" s="6">
        <v>2987</v>
      </c>
      <c r="G122" s="7">
        <v>0</v>
      </c>
      <c r="H122" s="6">
        <v>3887</v>
      </c>
      <c r="I122" s="7">
        <f t="shared" si="9"/>
        <v>900</v>
      </c>
      <c r="J122" s="6">
        <v>0</v>
      </c>
      <c r="K122" s="6" t="s">
        <v>23</v>
      </c>
      <c r="L122" s="8">
        <v>0</v>
      </c>
      <c r="M122" s="8">
        <f t="shared" si="34"/>
        <v>6960</v>
      </c>
      <c r="N122" s="4" t="s">
        <v>24</v>
      </c>
      <c r="O122" s="6">
        <v>4</v>
      </c>
      <c r="P122" s="6">
        <v>200</v>
      </c>
      <c r="Q122" s="6">
        <v>7</v>
      </c>
      <c r="R122" s="4" t="s">
        <v>267</v>
      </c>
      <c r="S122" s="3">
        <v>1290</v>
      </c>
      <c r="T122" s="4" t="s">
        <v>177</v>
      </c>
    </row>
    <row r="123" spans="1:20" ht="14.4">
      <c r="A123" s="3">
        <v>50</v>
      </c>
      <c r="B123" s="4" t="s">
        <v>174</v>
      </c>
      <c r="C123" s="4" t="s">
        <v>77</v>
      </c>
      <c r="D123" s="4" t="s">
        <v>268</v>
      </c>
      <c r="E123" s="6">
        <f t="shared" si="37"/>
        <v>0</v>
      </c>
      <c r="F123" s="6">
        <v>7947</v>
      </c>
      <c r="G123" s="7">
        <v>0</v>
      </c>
      <c r="H123" s="6">
        <v>8499</v>
      </c>
      <c r="I123" s="7">
        <f t="shared" si="9"/>
        <v>552</v>
      </c>
      <c r="J123" s="6">
        <v>0</v>
      </c>
      <c r="K123" s="6" t="s">
        <v>23</v>
      </c>
      <c r="L123" s="8">
        <v>0</v>
      </c>
      <c r="M123" s="8">
        <f t="shared" si="34"/>
        <v>4524</v>
      </c>
      <c r="N123" s="4" t="s">
        <v>24</v>
      </c>
      <c r="O123" s="6">
        <v>4</v>
      </c>
      <c r="P123" s="6">
        <v>200</v>
      </c>
      <c r="Q123" s="6">
        <v>7</v>
      </c>
      <c r="R123" s="4" t="s">
        <v>269</v>
      </c>
      <c r="S123" s="3">
        <v>1290</v>
      </c>
      <c r="T123" s="4" t="s">
        <v>177</v>
      </c>
    </row>
    <row r="124" spans="1:20" ht="14.4">
      <c r="A124" s="3">
        <v>51</v>
      </c>
      <c r="B124" s="4" t="s">
        <v>174</v>
      </c>
      <c r="C124" s="4" t="s">
        <v>77</v>
      </c>
      <c r="D124" s="4" t="s">
        <v>270</v>
      </c>
      <c r="E124" s="6">
        <f t="shared" si="37"/>
        <v>0</v>
      </c>
      <c r="F124" s="6">
        <v>5427</v>
      </c>
      <c r="G124" s="7">
        <v>0</v>
      </c>
      <c r="H124" s="6">
        <v>5508</v>
      </c>
      <c r="I124" s="7">
        <f t="shared" si="9"/>
        <v>81</v>
      </c>
      <c r="J124" s="6">
        <v>0</v>
      </c>
      <c r="K124" s="6" t="s">
        <v>23</v>
      </c>
      <c r="L124" s="8">
        <v>0</v>
      </c>
      <c r="M124" s="8">
        <f t="shared" si="34"/>
        <v>1227</v>
      </c>
      <c r="N124" s="4" t="s">
        <v>24</v>
      </c>
      <c r="O124" s="6">
        <v>4</v>
      </c>
      <c r="P124" s="6">
        <v>200</v>
      </c>
      <c r="Q124" s="6">
        <v>7</v>
      </c>
      <c r="R124" s="4" t="s">
        <v>271</v>
      </c>
      <c r="S124" s="3">
        <v>1290</v>
      </c>
      <c r="T124" s="4" t="s">
        <v>177</v>
      </c>
    </row>
    <row r="125" spans="1:20" ht="14.4">
      <c r="A125" s="3">
        <v>52</v>
      </c>
      <c r="B125" s="4" t="s">
        <v>174</v>
      </c>
      <c r="C125" s="4" t="s">
        <v>77</v>
      </c>
      <c r="D125" s="4" t="s">
        <v>272</v>
      </c>
      <c r="E125" s="6">
        <v>4820</v>
      </c>
      <c r="F125" s="6">
        <v>5535</v>
      </c>
      <c r="G125" s="7">
        <f t="shared" ref="G125:G126" si="38">F125-E125</f>
        <v>715</v>
      </c>
      <c r="H125" s="6">
        <v>6015</v>
      </c>
      <c r="I125" s="7">
        <f t="shared" si="9"/>
        <v>480</v>
      </c>
      <c r="J125" s="6" t="s">
        <v>23</v>
      </c>
      <c r="K125" s="6" t="s">
        <v>23</v>
      </c>
      <c r="L125" s="8">
        <f t="shared" ref="L125:L126" si="39">G125*Q125+P125+O125*115</f>
        <v>5665</v>
      </c>
      <c r="M125" s="8">
        <f t="shared" si="34"/>
        <v>4020</v>
      </c>
      <c r="N125" s="4" t="s">
        <v>24</v>
      </c>
      <c r="O125" s="6">
        <v>4</v>
      </c>
      <c r="P125" s="6">
        <v>200</v>
      </c>
      <c r="Q125" s="6">
        <v>7</v>
      </c>
      <c r="R125" s="4" t="s">
        <v>273</v>
      </c>
      <c r="S125" s="3">
        <v>1290</v>
      </c>
      <c r="T125" s="4" t="s">
        <v>177</v>
      </c>
    </row>
    <row r="126" spans="1:20" ht="14.4">
      <c r="A126" s="3">
        <v>53</v>
      </c>
      <c r="B126" s="4" t="s">
        <v>174</v>
      </c>
      <c r="C126" s="4" t="s">
        <v>77</v>
      </c>
      <c r="D126" s="4" t="s">
        <v>274</v>
      </c>
      <c r="E126" s="6">
        <v>6841</v>
      </c>
      <c r="F126" s="6">
        <v>7330</v>
      </c>
      <c r="G126" s="7">
        <f t="shared" si="38"/>
        <v>489</v>
      </c>
      <c r="H126" s="6">
        <v>7592</v>
      </c>
      <c r="I126" s="7">
        <f t="shared" si="9"/>
        <v>262</v>
      </c>
      <c r="J126" s="6" t="s">
        <v>23</v>
      </c>
      <c r="K126" s="6" t="s">
        <v>23</v>
      </c>
      <c r="L126" s="8">
        <f t="shared" si="39"/>
        <v>4083</v>
      </c>
      <c r="M126" s="8">
        <f t="shared" si="34"/>
        <v>2494</v>
      </c>
      <c r="N126" s="4" t="s">
        <v>24</v>
      </c>
      <c r="O126" s="6">
        <v>4</v>
      </c>
      <c r="P126" s="6">
        <v>200</v>
      </c>
      <c r="Q126" s="6">
        <v>7</v>
      </c>
      <c r="R126" s="4" t="s">
        <v>275</v>
      </c>
      <c r="S126" s="3">
        <v>995</v>
      </c>
      <c r="T126" s="4" t="s">
        <v>186</v>
      </c>
    </row>
    <row r="127" spans="1:20" ht="14.4">
      <c r="A127" s="3">
        <v>54</v>
      </c>
      <c r="B127" s="4" t="s">
        <v>174</v>
      </c>
      <c r="C127" s="4" t="s">
        <v>77</v>
      </c>
      <c r="D127" s="4" t="s">
        <v>276</v>
      </c>
      <c r="E127" s="6">
        <f t="shared" ref="E127:E132" si="40">J127</f>
        <v>0</v>
      </c>
      <c r="F127" s="6">
        <v>0</v>
      </c>
      <c r="G127" s="7">
        <v>0</v>
      </c>
      <c r="H127" s="6">
        <v>0</v>
      </c>
      <c r="I127" s="7">
        <f t="shared" si="9"/>
        <v>0</v>
      </c>
      <c r="J127" s="6">
        <v>0</v>
      </c>
      <c r="K127" s="6">
        <v>0</v>
      </c>
      <c r="L127" s="8">
        <v>0</v>
      </c>
      <c r="M127" s="8">
        <v>0</v>
      </c>
      <c r="N127" s="4" t="s">
        <v>24</v>
      </c>
      <c r="O127" s="6">
        <v>4</v>
      </c>
      <c r="P127" s="6">
        <v>200</v>
      </c>
      <c r="Q127" s="6">
        <v>7</v>
      </c>
      <c r="R127" s="4" t="s">
        <v>277</v>
      </c>
      <c r="S127" s="3">
        <v>995</v>
      </c>
      <c r="T127" s="4" t="s">
        <v>186</v>
      </c>
    </row>
    <row r="128" spans="1:20" ht="14.4">
      <c r="A128" s="3">
        <v>55</v>
      </c>
      <c r="B128" s="4" t="s">
        <v>174</v>
      </c>
      <c r="C128" s="4" t="s">
        <v>77</v>
      </c>
      <c r="D128" s="4" t="s">
        <v>278</v>
      </c>
      <c r="E128" s="6">
        <f t="shared" si="40"/>
        <v>0</v>
      </c>
      <c r="F128" s="6">
        <v>5004</v>
      </c>
      <c r="G128" s="7">
        <v>0</v>
      </c>
      <c r="H128" s="6">
        <v>5488</v>
      </c>
      <c r="I128" s="7">
        <f t="shared" si="9"/>
        <v>484</v>
      </c>
      <c r="J128" s="6">
        <v>0</v>
      </c>
      <c r="K128" s="6" t="s">
        <v>23</v>
      </c>
      <c r="L128" s="8">
        <v>0</v>
      </c>
      <c r="M128" s="8">
        <f t="shared" ref="M128:M136" si="41">I128*Q128+P128+O128*115</f>
        <v>4048</v>
      </c>
      <c r="N128" s="4" t="s">
        <v>24</v>
      </c>
      <c r="O128" s="6">
        <v>4</v>
      </c>
      <c r="P128" s="6">
        <v>200</v>
      </c>
      <c r="Q128" s="6">
        <v>7</v>
      </c>
      <c r="R128" s="4" t="s">
        <v>279</v>
      </c>
      <c r="S128" s="3">
        <v>1290</v>
      </c>
      <c r="T128" s="4" t="s">
        <v>177</v>
      </c>
    </row>
    <row r="129" spans="1:20" ht="14.4">
      <c r="A129" s="3">
        <v>56</v>
      </c>
      <c r="B129" s="4" t="s">
        <v>174</v>
      </c>
      <c r="C129" s="4" t="s">
        <v>77</v>
      </c>
      <c r="D129" s="4" t="s">
        <v>280</v>
      </c>
      <c r="E129" s="6">
        <f t="shared" si="40"/>
        <v>0</v>
      </c>
      <c r="F129" s="6">
        <v>9238</v>
      </c>
      <c r="G129" s="7">
        <v>0</v>
      </c>
      <c r="H129" s="6">
        <v>10421</v>
      </c>
      <c r="I129" s="7">
        <f t="shared" si="9"/>
        <v>1183</v>
      </c>
      <c r="J129" s="6">
        <v>0</v>
      </c>
      <c r="K129" s="6" t="s">
        <v>23</v>
      </c>
      <c r="L129" s="8">
        <v>0</v>
      </c>
      <c r="M129" s="8">
        <f t="shared" si="41"/>
        <v>8941</v>
      </c>
      <c r="N129" s="4" t="s">
        <v>24</v>
      </c>
      <c r="O129" s="6">
        <v>4</v>
      </c>
      <c r="P129" s="6">
        <v>200</v>
      </c>
      <c r="Q129" s="6">
        <v>7</v>
      </c>
      <c r="R129" s="4" t="s">
        <v>281</v>
      </c>
      <c r="S129" s="3">
        <v>1290</v>
      </c>
      <c r="T129" s="4" t="s">
        <v>177</v>
      </c>
    </row>
    <row r="130" spans="1:20" ht="14.4">
      <c r="A130" s="3">
        <v>57</v>
      </c>
      <c r="B130" s="4" t="s">
        <v>174</v>
      </c>
      <c r="C130" s="4" t="s">
        <v>85</v>
      </c>
      <c r="D130" s="4" t="s">
        <v>282</v>
      </c>
      <c r="E130" s="6">
        <f t="shared" si="40"/>
        <v>0</v>
      </c>
      <c r="F130" s="6">
        <v>16955</v>
      </c>
      <c r="G130" s="7">
        <v>0</v>
      </c>
      <c r="H130" s="6">
        <v>17317</v>
      </c>
      <c r="I130" s="7">
        <f t="shared" si="9"/>
        <v>362</v>
      </c>
      <c r="J130" s="6">
        <v>0</v>
      </c>
      <c r="K130" s="6" t="s">
        <v>23</v>
      </c>
      <c r="L130" s="8">
        <v>0</v>
      </c>
      <c r="M130" s="8">
        <f t="shared" si="41"/>
        <v>3194</v>
      </c>
      <c r="N130" s="4" t="s">
        <v>24</v>
      </c>
      <c r="O130" s="6">
        <v>4</v>
      </c>
      <c r="P130" s="6">
        <v>200</v>
      </c>
      <c r="Q130" s="6">
        <v>7</v>
      </c>
      <c r="R130" s="4" t="s">
        <v>283</v>
      </c>
      <c r="S130" s="3">
        <v>1290</v>
      </c>
      <c r="T130" s="4" t="s">
        <v>177</v>
      </c>
    </row>
    <row r="131" spans="1:20" ht="14.4">
      <c r="A131" s="3">
        <v>58</v>
      </c>
      <c r="B131" s="4" t="s">
        <v>174</v>
      </c>
      <c r="C131" s="4" t="s">
        <v>85</v>
      </c>
      <c r="D131" s="4" t="s">
        <v>284</v>
      </c>
      <c r="E131" s="6">
        <f t="shared" si="40"/>
        <v>0</v>
      </c>
      <c r="F131" s="6">
        <v>17095</v>
      </c>
      <c r="G131" s="7">
        <v>0</v>
      </c>
      <c r="H131" s="6">
        <v>17512</v>
      </c>
      <c r="I131" s="7">
        <f t="shared" si="9"/>
        <v>417</v>
      </c>
      <c r="J131" s="6">
        <v>0</v>
      </c>
      <c r="K131" s="6" t="s">
        <v>23</v>
      </c>
      <c r="L131" s="8">
        <v>0</v>
      </c>
      <c r="M131" s="8">
        <f t="shared" si="41"/>
        <v>3579</v>
      </c>
      <c r="N131" s="4" t="s">
        <v>24</v>
      </c>
      <c r="O131" s="6">
        <v>4</v>
      </c>
      <c r="P131" s="6">
        <v>200</v>
      </c>
      <c r="Q131" s="6">
        <v>7</v>
      </c>
      <c r="R131" s="4" t="s">
        <v>285</v>
      </c>
      <c r="S131" s="3">
        <v>1290</v>
      </c>
      <c r="T131" s="4" t="s">
        <v>177</v>
      </c>
    </row>
    <row r="132" spans="1:20" ht="14.4">
      <c r="A132" s="3">
        <v>59</v>
      </c>
      <c r="B132" s="4" t="s">
        <v>174</v>
      </c>
      <c r="C132" s="4" t="s">
        <v>85</v>
      </c>
      <c r="D132" s="4" t="s">
        <v>286</v>
      </c>
      <c r="E132" s="6">
        <f t="shared" si="40"/>
        <v>0</v>
      </c>
      <c r="F132" s="6">
        <v>7169</v>
      </c>
      <c r="G132" s="7">
        <v>0</v>
      </c>
      <c r="H132" s="6">
        <v>7258</v>
      </c>
      <c r="I132" s="7">
        <f t="shared" si="9"/>
        <v>89</v>
      </c>
      <c r="J132" s="6">
        <v>0</v>
      </c>
      <c r="K132" s="6" t="s">
        <v>23</v>
      </c>
      <c r="L132" s="8">
        <v>0</v>
      </c>
      <c r="M132" s="8">
        <f t="shared" si="41"/>
        <v>1283</v>
      </c>
      <c r="N132" s="4" t="s">
        <v>24</v>
      </c>
      <c r="O132" s="6">
        <v>4</v>
      </c>
      <c r="P132" s="6">
        <v>200</v>
      </c>
      <c r="Q132" s="6">
        <v>7</v>
      </c>
      <c r="R132" s="4" t="s">
        <v>287</v>
      </c>
      <c r="S132" s="3">
        <v>1290</v>
      </c>
      <c r="T132" s="4" t="s">
        <v>177</v>
      </c>
    </row>
    <row r="133" spans="1:20" ht="14.4">
      <c r="A133" s="3">
        <v>60</v>
      </c>
      <c r="B133" s="4" t="s">
        <v>174</v>
      </c>
      <c r="C133" s="4" t="s">
        <v>85</v>
      </c>
      <c r="D133" s="4" t="s">
        <v>288</v>
      </c>
      <c r="E133" s="6">
        <v>9272</v>
      </c>
      <c r="F133" s="6">
        <v>9928</v>
      </c>
      <c r="G133" s="7">
        <f>F133-E133</f>
        <v>656</v>
      </c>
      <c r="H133" s="6">
        <v>10322</v>
      </c>
      <c r="I133" s="7">
        <f t="shared" si="9"/>
        <v>394</v>
      </c>
      <c r="J133" s="6" t="s">
        <v>23</v>
      </c>
      <c r="K133" s="6" t="s">
        <v>23</v>
      </c>
      <c r="L133" s="8">
        <f>G133*Q133+P133+O133*115</f>
        <v>5252</v>
      </c>
      <c r="M133" s="8">
        <f t="shared" si="41"/>
        <v>3418</v>
      </c>
      <c r="N133" s="4" t="s">
        <v>24</v>
      </c>
      <c r="O133" s="6">
        <v>4</v>
      </c>
      <c r="P133" s="6">
        <v>200</v>
      </c>
      <c r="Q133" s="6">
        <v>7</v>
      </c>
      <c r="R133" s="4" t="s">
        <v>289</v>
      </c>
      <c r="S133" s="3">
        <v>1290</v>
      </c>
      <c r="T133" s="4" t="s">
        <v>177</v>
      </c>
    </row>
    <row r="134" spans="1:20" ht="14.4">
      <c r="A134" s="3">
        <v>61</v>
      </c>
      <c r="B134" s="4" t="s">
        <v>174</v>
      </c>
      <c r="C134" s="4" t="s">
        <v>85</v>
      </c>
      <c r="D134" s="4" t="s">
        <v>290</v>
      </c>
      <c r="E134" s="6">
        <f t="shared" ref="E134:E143" si="42">J134</f>
        <v>0</v>
      </c>
      <c r="F134" s="6">
        <v>7341</v>
      </c>
      <c r="G134" s="7">
        <v>0</v>
      </c>
      <c r="H134" s="6">
        <v>7752</v>
      </c>
      <c r="I134" s="7">
        <f t="shared" si="9"/>
        <v>411</v>
      </c>
      <c r="J134" s="6">
        <v>0</v>
      </c>
      <c r="K134" s="6" t="s">
        <v>23</v>
      </c>
      <c r="L134" s="8">
        <v>0</v>
      </c>
      <c r="M134" s="8">
        <f t="shared" si="41"/>
        <v>3537</v>
      </c>
      <c r="N134" s="4" t="s">
        <v>24</v>
      </c>
      <c r="O134" s="6">
        <v>4</v>
      </c>
      <c r="P134" s="6">
        <v>200</v>
      </c>
      <c r="Q134" s="6">
        <v>7</v>
      </c>
      <c r="R134" s="4" t="s">
        <v>291</v>
      </c>
      <c r="S134" s="3">
        <v>995</v>
      </c>
      <c r="T134" s="4" t="s">
        <v>186</v>
      </c>
    </row>
    <row r="135" spans="1:20" ht="14.4">
      <c r="A135" s="3">
        <v>62</v>
      </c>
      <c r="B135" s="4" t="s">
        <v>174</v>
      </c>
      <c r="C135" s="4" t="s">
        <v>85</v>
      </c>
      <c r="D135" s="4" t="s">
        <v>292</v>
      </c>
      <c r="E135" s="6">
        <f t="shared" si="42"/>
        <v>0</v>
      </c>
      <c r="F135" s="6">
        <v>7301</v>
      </c>
      <c r="G135" s="7">
        <v>0</v>
      </c>
      <c r="H135" s="6">
        <v>7811</v>
      </c>
      <c r="I135" s="7">
        <f t="shared" si="9"/>
        <v>510</v>
      </c>
      <c r="J135" s="6">
        <v>0</v>
      </c>
      <c r="K135" s="6" t="s">
        <v>23</v>
      </c>
      <c r="L135" s="8">
        <v>0</v>
      </c>
      <c r="M135" s="8">
        <f t="shared" si="41"/>
        <v>4230</v>
      </c>
      <c r="N135" s="4" t="s">
        <v>24</v>
      </c>
      <c r="O135" s="6">
        <v>4</v>
      </c>
      <c r="P135" s="6">
        <v>200</v>
      </c>
      <c r="Q135" s="6">
        <v>7</v>
      </c>
      <c r="R135" s="4" t="s">
        <v>293</v>
      </c>
      <c r="S135" s="3">
        <v>995</v>
      </c>
      <c r="T135" s="4" t="s">
        <v>186</v>
      </c>
    </row>
    <row r="136" spans="1:20" ht="14.4">
      <c r="A136" s="3">
        <v>63</v>
      </c>
      <c r="B136" s="4" t="s">
        <v>174</v>
      </c>
      <c r="C136" s="4" t="s">
        <v>85</v>
      </c>
      <c r="D136" s="4" t="s">
        <v>294</v>
      </c>
      <c r="E136" s="6">
        <f t="shared" si="42"/>
        <v>0</v>
      </c>
      <c r="F136" s="6">
        <v>19965</v>
      </c>
      <c r="G136" s="7">
        <v>0</v>
      </c>
      <c r="H136" s="6">
        <v>20492</v>
      </c>
      <c r="I136" s="7">
        <f t="shared" si="9"/>
        <v>527</v>
      </c>
      <c r="J136" s="6">
        <v>0</v>
      </c>
      <c r="K136" s="6" t="s">
        <v>23</v>
      </c>
      <c r="L136" s="8">
        <v>0</v>
      </c>
      <c r="M136" s="8">
        <f t="shared" si="41"/>
        <v>4349</v>
      </c>
      <c r="N136" s="4" t="s">
        <v>24</v>
      </c>
      <c r="O136" s="6">
        <v>4</v>
      </c>
      <c r="P136" s="6">
        <v>200</v>
      </c>
      <c r="Q136" s="6">
        <v>7</v>
      </c>
      <c r="R136" s="4" t="s">
        <v>295</v>
      </c>
      <c r="S136" s="3">
        <v>1290</v>
      </c>
      <c r="T136" s="4" t="s">
        <v>177</v>
      </c>
    </row>
    <row r="137" spans="1:20" ht="14.4">
      <c r="A137" s="3">
        <v>64</v>
      </c>
      <c r="B137" s="4" t="s">
        <v>174</v>
      </c>
      <c r="C137" s="4" t="s">
        <v>85</v>
      </c>
      <c r="D137" s="4" t="s">
        <v>296</v>
      </c>
      <c r="E137" s="6">
        <f t="shared" si="42"/>
        <v>0</v>
      </c>
      <c r="F137" s="6">
        <v>0</v>
      </c>
      <c r="G137" s="7">
        <v>0</v>
      </c>
      <c r="H137" s="6">
        <v>0</v>
      </c>
      <c r="I137" s="7">
        <f t="shared" si="9"/>
        <v>0</v>
      </c>
      <c r="J137" s="6">
        <v>0</v>
      </c>
      <c r="K137" s="6">
        <v>0</v>
      </c>
      <c r="L137" s="8">
        <v>0</v>
      </c>
      <c r="M137" s="8">
        <v>0</v>
      </c>
      <c r="N137" s="4" t="s">
        <v>24</v>
      </c>
      <c r="O137" s="6">
        <v>4</v>
      </c>
      <c r="P137" s="6">
        <v>200</v>
      </c>
      <c r="Q137" s="6">
        <v>7</v>
      </c>
      <c r="R137" s="4"/>
      <c r="S137" s="3">
        <v>1290</v>
      </c>
      <c r="T137" s="4" t="s">
        <v>177</v>
      </c>
    </row>
    <row r="138" spans="1:20" ht="14.4">
      <c r="A138" s="3">
        <v>65</v>
      </c>
      <c r="B138" s="4" t="s">
        <v>174</v>
      </c>
      <c r="C138" s="4" t="s">
        <v>94</v>
      </c>
      <c r="D138" s="4" t="s">
        <v>297</v>
      </c>
      <c r="E138" s="6">
        <f t="shared" si="42"/>
        <v>0</v>
      </c>
      <c r="F138" s="6">
        <v>12230</v>
      </c>
      <c r="G138" s="7">
        <v>0</v>
      </c>
      <c r="H138" s="6">
        <v>12615</v>
      </c>
      <c r="I138" s="7">
        <f t="shared" si="9"/>
        <v>385</v>
      </c>
      <c r="J138" s="6">
        <v>0</v>
      </c>
      <c r="K138" s="6" t="s">
        <v>23</v>
      </c>
      <c r="L138" s="8">
        <v>0</v>
      </c>
      <c r="M138" s="8">
        <f>I138*Q138+P138+O138*115</f>
        <v>3355</v>
      </c>
      <c r="N138" s="4" t="s">
        <v>24</v>
      </c>
      <c r="O138" s="6">
        <v>4</v>
      </c>
      <c r="P138" s="6">
        <v>200</v>
      </c>
      <c r="Q138" s="6">
        <v>7</v>
      </c>
      <c r="R138" s="4" t="s">
        <v>298</v>
      </c>
      <c r="S138" s="3">
        <v>1290</v>
      </c>
      <c r="T138" s="4" t="s">
        <v>177</v>
      </c>
    </row>
    <row r="139" spans="1:20" ht="14.4">
      <c r="A139" s="3">
        <v>66</v>
      </c>
      <c r="B139" s="4" t="s">
        <v>174</v>
      </c>
      <c r="C139" s="4" t="s">
        <v>94</v>
      </c>
      <c r="D139" s="4" t="s">
        <v>299</v>
      </c>
      <c r="E139" s="6">
        <f t="shared" si="42"/>
        <v>0</v>
      </c>
      <c r="F139" s="6">
        <v>0</v>
      </c>
      <c r="G139" s="7">
        <v>0</v>
      </c>
      <c r="H139" s="6">
        <v>0</v>
      </c>
      <c r="I139" s="7">
        <f t="shared" si="9"/>
        <v>0</v>
      </c>
      <c r="J139" s="6">
        <v>0</v>
      </c>
      <c r="K139" s="6">
        <v>0</v>
      </c>
      <c r="L139" s="8">
        <v>0</v>
      </c>
      <c r="M139" s="8">
        <v>0</v>
      </c>
      <c r="N139" s="4" t="s">
        <v>24</v>
      </c>
      <c r="O139" s="6">
        <v>4</v>
      </c>
      <c r="P139" s="6">
        <v>200</v>
      </c>
      <c r="Q139" s="6">
        <v>7</v>
      </c>
      <c r="R139" s="4" t="s">
        <v>300</v>
      </c>
      <c r="S139" s="3">
        <v>1290</v>
      </c>
      <c r="T139" s="4" t="s">
        <v>177</v>
      </c>
    </row>
    <row r="140" spans="1:20" ht="14.4">
      <c r="A140" s="3">
        <v>67</v>
      </c>
      <c r="B140" s="4" t="s">
        <v>174</v>
      </c>
      <c r="C140" s="4" t="s">
        <v>94</v>
      </c>
      <c r="D140" s="4" t="s">
        <v>301</v>
      </c>
      <c r="E140" s="6">
        <f t="shared" si="42"/>
        <v>0</v>
      </c>
      <c r="F140" s="6">
        <v>8193</v>
      </c>
      <c r="G140" s="7">
        <v>0</v>
      </c>
      <c r="H140" s="6">
        <v>8436</v>
      </c>
      <c r="I140" s="7">
        <f t="shared" si="9"/>
        <v>243</v>
      </c>
      <c r="J140" s="6">
        <v>0</v>
      </c>
      <c r="K140" s="6" t="s">
        <v>23</v>
      </c>
      <c r="L140" s="8">
        <v>0</v>
      </c>
      <c r="M140" s="8">
        <f t="shared" ref="M140:M160" si="43">I140*Q140+P140+O140*115</f>
        <v>2361</v>
      </c>
      <c r="N140" s="4" t="s">
        <v>24</v>
      </c>
      <c r="O140" s="6">
        <v>4</v>
      </c>
      <c r="P140" s="6">
        <v>200</v>
      </c>
      <c r="Q140" s="6">
        <v>7</v>
      </c>
      <c r="R140" s="4" t="s">
        <v>302</v>
      </c>
      <c r="S140" s="3">
        <v>1290</v>
      </c>
      <c r="T140" s="4" t="s">
        <v>177</v>
      </c>
    </row>
    <row r="141" spans="1:20" ht="14.4">
      <c r="A141" s="3">
        <v>68</v>
      </c>
      <c r="B141" s="4" t="s">
        <v>174</v>
      </c>
      <c r="C141" s="4" t="s">
        <v>94</v>
      </c>
      <c r="D141" s="4" t="s">
        <v>303</v>
      </c>
      <c r="E141" s="6">
        <f t="shared" si="42"/>
        <v>0</v>
      </c>
      <c r="F141" s="6">
        <v>8374</v>
      </c>
      <c r="G141" s="7">
        <v>0</v>
      </c>
      <c r="H141" s="6">
        <v>8941</v>
      </c>
      <c r="I141" s="7">
        <f t="shared" si="9"/>
        <v>567</v>
      </c>
      <c r="J141" s="6">
        <v>0</v>
      </c>
      <c r="K141" s="6" t="s">
        <v>23</v>
      </c>
      <c r="L141" s="8">
        <v>0</v>
      </c>
      <c r="M141" s="8">
        <f t="shared" si="43"/>
        <v>4629</v>
      </c>
      <c r="N141" s="4" t="s">
        <v>24</v>
      </c>
      <c r="O141" s="6">
        <v>4</v>
      </c>
      <c r="P141" s="6">
        <v>200</v>
      </c>
      <c r="Q141" s="6">
        <v>7</v>
      </c>
      <c r="R141" s="4" t="s">
        <v>304</v>
      </c>
      <c r="S141" s="3">
        <v>1290</v>
      </c>
      <c r="T141" s="4" t="s">
        <v>177</v>
      </c>
    </row>
    <row r="142" spans="1:20" ht="14.4">
      <c r="A142" s="3">
        <v>69</v>
      </c>
      <c r="B142" s="4" t="s">
        <v>174</v>
      </c>
      <c r="C142" s="4" t="s">
        <v>94</v>
      </c>
      <c r="D142" s="4" t="s">
        <v>305</v>
      </c>
      <c r="E142" s="6">
        <f t="shared" si="42"/>
        <v>0</v>
      </c>
      <c r="F142" s="6">
        <v>8089</v>
      </c>
      <c r="G142" s="7">
        <v>0</v>
      </c>
      <c r="H142" s="6">
        <v>8394</v>
      </c>
      <c r="I142" s="7">
        <f t="shared" si="9"/>
        <v>305</v>
      </c>
      <c r="J142" s="6">
        <v>0</v>
      </c>
      <c r="K142" s="6" t="s">
        <v>23</v>
      </c>
      <c r="L142" s="8">
        <v>0</v>
      </c>
      <c r="M142" s="8">
        <f t="shared" si="43"/>
        <v>2795</v>
      </c>
      <c r="N142" s="4" t="s">
        <v>24</v>
      </c>
      <c r="O142" s="6">
        <v>4</v>
      </c>
      <c r="P142" s="6">
        <v>200</v>
      </c>
      <c r="Q142" s="6">
        <v>7</v>
      </c>
      <c r="R142" s="4" t="s">
        <v>306</v>
      </c>
      <c r="S142" s="3">
        <v>995</v>
      </c>
      <c r="T142" s="4" t="s">
        <v>186</v>
      </c>
    </row>
    <row r="143" spans="1:20" ht="14.4">
      <c r="A143" s="3">
        <v>70</v>
      </c>
      <c r="B143" s="4" t="s">
        <v>174</v>
      </c>
      <c r="C143" s="4" t="s">
        <v>94</v>
      </c>
      <c r="D143" s="4" t="s">
        <v>307</v>
      </c>
      <c r="E143" s="6">
        <f t="shared" si="42"/>
        <v>0</v>
      </c>
      <c r="F143" s="6">
        <v>3028</v>
      </c>
      <c r="G143" s="7">
        <v>0</v>
      </c>
      <c r="H143" s="6">
        <v>3300</v>
      </c>
      <c r="I143" s="7">
        <f t="shared" si="9"/>
        <v>272</v>
      </c>
      <c r="J143" s="6">
        <v>0</v>
      </c>
      <c r="K143" s="6" t="s">
        <v>23</v>
      </c>
      <c r="L143" s="8">
        <v>0</v>
      </c>
      <c r="M143" s="8">
        <f t="shared" si="43"/>
        <v>2564</v>
      </c>
      <c r="N143" s="4" t="s">
        <v>24</v>
      </c>
      <c r="O143" s="6">
        <v>4</v>
      </c>
      <c r="P143" s="6">
        <v>200</v>
      </c>
      <c r="Q143" s="6">
        <v>7</v>
      </c>
      <c r="R143" s="4" t="s">
        <v>308</v>
      </c>
      <c r="S143" s="3">
        <v>995</v>
      </c>
      <c r="T143" s="4" t="s">
        <v>186</v>
      </c>
    </row>
    <row r="144" spans="1:20" ht="14.4">
      <c r="A144" s="3">
        <v>71</v>
      </c>
      <c r="B144" s="4" t="s">
        <v>174</v>
      </c>
      <c r="C144" s="4" t="s">
        <v>94</v>
      </c>
      <c r="D144" s="4" t="s">
        <v>309</v>
      </c>
      <c r="E144" s="6">
        <v>3818</v>
      </c>
      <c r="F144" s="6">
        <v>4000</v>
      </c>
      <c r="G144" s="7">
        <f>F144-E144</f>
        <v>182</v>
      </c>
      <c r="H144" s="6">
        <v>4659</v>
      </c>
      <c r="I144" s="7">
        <f t="shared" si="9"/>
        <v>659</v>
      </c>
      <c r="J144" s="6" t="s">
        <v>23</v>
      </c>
      <c r="K144" s="6" t="s">
        <v>23</v>
      </c>
      <c r="L144" s="8">
        <f>G144*Q144+P144+O144*115</f>
        <v>1934</v>
      </c>
      <c r="M144" s="8">
        <f t="shared" si="43"/>
        <v>5273</v>
      </c>
      <c r="N144" s="4" t="s">
        <v>24</v>
      </c>
      <c r="O144" s="6">
        <v>4</v>
      </c>
      <c r="P144" s="6">
        <v>200</v>
      </c>
      <c r="Q144" s="6">
        <v>7</v>
      </c>
      <c r="R144" s="4" t="s">
        <v>310</v>
      </c>
      <c r="S144" s="3">
        <v>1290</v>
      </c>
      <c r="T144" s="4" t="s">
        <v>177</v>
      </c>
    </row>
    <row r="145" spans="1:20" ht="14.4">
      <c r="A145" s="3">
        <v>72</v>
      </c>
      <c r="B145" s="4" t="s">
        <v>174</v>
      </c>
      <c r="C145" s="4" t="s">
        <v>94</v>
      </c>
      <c r="D145" s="4" t="s">
        <v>311</v>
      </c>
      <c r="E145" s="6">
        <f>J145</f>
        <v>0</v>
      </c>
      <c r="F145" s="6">
        <v>5156</v>
      </c>
      <c r="G145" s="7"/>
      <c r="H145" s="6">
        <v>5762</v>
      </c>
      <c r="I145" s="7">
        <f t="shared" si="9"/>
        <v>606</v>
      </c>
      <c r="J145" s="6">
        <v>0</v>
      </c>
      <c r="K145" s="6" t="s">
        <v>23</v>
      </c>
      <c r="L145" s="8">
        <v>0</v>
      </c>
      <c r="M145" s="8">
        <f t="shared" si="43"/>
        <v>4902</v>
      </c>
      <c r="N145" s="4" t="s">
        <v>24</v>
      </c>
      <c r="O145" s="6">
        <v>4</v>
      </c>
      <c r="P145" s="6">
        <v>200</v>
      </c>
      <c r="Q145" s="6">
        <v>7</v>
      </c>
      <c r="R145" s="4" t="s">
        <v>312</v>
      </c>
      <c r="S145" s="3">
        <v>1290</v>
      </c>
      <c r="T145" s="4" t="s">
        <v>177</v>
      </c>
    </row>
    <row r="146" spans="1:20" ht="14.4">
      <c r="A146" s="3">
        <v>73</v>
      </c>
      <c r="B146" s="4" t="s">
        <v>174</v>
      </c>
      <c r="C146" s="4" t="s">
        <v>103</v>
      </c>
      <c r="D146" s="4" t="s">
        <v>313</v>
      </c>
      <c r="E146" s="6">
        <v>11463</v>
      </c>
      <c r="F146" s="6">
        <v>12472</v>
      </c>
      <c r="G146" s="7">
        <f t="shared" ref="G146:G147" si="44">F146-E146</f>
        <v>1009</v>
      </c>
      <c r="H146" s="6">
        <v>13156</v>
      </c>
      <c r="I146" s="7">
        <f t="shared" si="9"/>
        <v>684</v>
      </c>
      <c r="J146" s="6" t="s">
        <v>23</v>
      </c>
      <c r="K146" s="6" t="s">
        <v>23</v>
      </c>
      <c r="L146" s="8">
        <f t="shared" ref="L146:L147" si="45">G146*Q146+P146+O146*115</f>
        <v>7723</v>
      </c>
      <c r="M146" s="8">
        <f t="shared" si="43"/>
        <v>5448</v>
      </c>
      <c r="N146" s="4" t="s">
        <v>24</v>
      </c>
      <c r="O146" s="6">
        <v>4</v>
      </c>
      <c r="P146" s="6">
        <v>200</v>
      </c>
      <c r="Q146" s="6">
        <v>7</v>
      </c>
      <c r="R146" s="4" t="s">
        <v>314</v>
      </c>
      <c r="S146" s="3">
        <v>1290</v>
      </c>
      <c r="T146" s="4" t="s">
        <v>177</v>
      </c>
    </row>
    <row r="147" spans="1:20" ht="14.4">
      <c r="A147" s="3">
        <v>74</v>
      </c>
      <c r="B147" s="4" t="s">
        <v>174</v>
      </c>
      <c r="C147" s="4" t="s">
        <v>103</v>
      </c>
      <c r="D147" s="4" t="s">
        <v>315</v>
      </c>
      <c r="E147" s="6">
        <v>4476</v>
      </c>
      <c r="F147" s="6">
        <v>4884</v>
      </c>
      <c r="G147" s="7">
        <f t="shared" si="44"/>
        <v>408</v>
      </c>
      <c r="H147" s="6">
        <v>5155</v>
      </c>
      <c r="I147" s="7">
        <f t="shared" si="9"/>
        <v>271</v>
      </c>
      <c r="J147" s="6" t="s">
        <v>23</v>
      </c>
      <c r="K147" s="6" t="s">
        <v>23</v>
      </c>
      <c r="L147" s="8">
        <f t="shared" si="45"/>
        <v>3516</v>
      </c>
      <c r="M147" s="8">
        <f t="shared" si="43"/>
        <v>2557</v>
      </c>
      <c r="N147" s="4" t="s">
        <v>24</v>
      </c>
      <c r="O147" s="6">
        <v>4</v>
      </c>
      <c r="P147" s="6">
        <v>200</v>
      </c>
      <c r="Q147" s="6">
        <v>7</v>
      </c>
      <c r="R147" s="4" t="s">
        <v>316</v>
      </c>
      <c r="S147" s="3">
        <v>1290</v>
      </c>
      <c r="T147" s="4" t="s">
        <v>177</v>
      </c>
    </row>
    <row r="148" spans="1:20" ht="14.4">
      <c r="A148" s="3">
        <v>75</v>
      </c>
      <c r="B148" s="4" t="s">
        <v>174</v>
      </c>
      <c r="C148" s="4" t="s">
        <v>103</v>
      </c>
      <c r="D148" s="4" t="s">
        <v>317</v>
      </c>
      <c r="E148" s="6">
        <f t="shared" ref="E148:E150" si="46">J148</f>
        <v>0</v>
      </c>
      <c r="F148" s="6">
        <v>24704</v>
      </c>
      <c r="G148" s="7">
        <v>0</v>
      </c>
      <c r="H148" s="6">
        <v>24875</v>
      </c>
      <c r="I148" s="7">
        <f t="shared" si="9"/>
        <v>171</v>
      </c>
      <c r="J148" s="6">
        <v>0</v>
      </c>
      <c r="K148" s="6" t="s">
        <v>23</v>
      </c>
      <c r="L148" s="8">
        <v>0</v>
      </c>
      <c r="M148" s="8">
        <f t="shared" si="43"/>
        <v>1857</v>
      </c>
      <c r="N148" s="4" t="s">
        <v>24</v>
      </c>
      <c r="O148" s="6">
        <v>4</v>
      </c>
      <c r="P148" s="6">
        <v>200</v>
      </c>
      <c r="Q148" s="6">
        <v>7</v>
      </c>
      <c r="R148" s="4" t="s">
        <v>318</v>
      </c>
      <c r="S148" s="3">
        <v>1290</v>
      </c>
      <c r="T148" s="4" t="s">
        <v>177</v>
      </c>
    </row>
    <row r="149" spans="1:20" ht="14.4">
      <c r="A149" s="3">
        <v>76</v>
      </c>
      <c r="B149" s="4" t="s">
        <v>174</v>
      </c>
      <c r="C149" s="4" t="s">
        <v>103</v>
      </c>
      <c r="D149" s="4" t="s">
        <v>319</v>
      </c>
      <c r="E149" s="6">
        <f t="shared" si="46"/>
        <v>0</v>
      </c>
      <c r="F149" s="6">
        <v>24904</v>
      </c>
      <c r="G149" s="7">
        <v>0</v>
      </c>
      <c r="H149" s="6">
        <v>25309</v>
      </c>
      <c r="I149" s="7">
        <f t="shared" si="9"/>
        <v>405</v>
      </c>
      <c r="J149" s="6">
        <v>0</v>
      </c>
      <c r="K149" s="6" t="s">
        <v>23</v>
      </c>
      <c r="L149" s="8">
        <v>0</v>
      </c>
      <c r="M149" s="8">
        <f t="shared" si="43"/>
        <v>3495</v>
      </c>
      <c r="N149" s="4" t="s">
        <v>24</v>
      </c>
      <c r="O149" s="6">
        <v>4</v>
      </c>
      <c r="P149" s="6">
        <v>200</v>
      </c>
      <c r="Q149" s="6">
        <v>7</v>
      </c>
      <c r="R149" s="4" t="s">
        <v>320</v>
      </c>
      <c r="S149" s="3">
        <v>1290</v>
      </c>
      <c r="T149" s="4" t="s">
        <v>177</v>
      </c>
    </row>
    <row r="150" spans="1:20" ht="14.4">
      <c r="A150" s="3">
        <v>77</v>
      </c>
      <c r="B150" s="4" t="s">
        <v>174</v>
      </c>
      <c r="C150" s="4" t="s">
        <v>103</v>
      </c>
      <c r="D150" s="4" t="s">
        <v>321</v>
      </c>
      <c r="E150" s="6">
        <f t="shared" si="46"/>
        <v>0</v>
      </c>
      <c r="F150" s="6">
        <v>7679</v>
      </c>
      <c r="G150" s="7">
        <v>0</v>
      </c>
      <c r="H150" s="6">
        <v>7846</v>
      </c>
      <c r="I150" s="7">
        <f t="shared" si="9"/>
        <v>167</v>
      </c>
      <c r="J150" s="6">
        <v>0</v>
      </c>
      <c r="K150" s="6" t="s">
        <v>23</v>
      </c>
      <c r="L150" s="8">
        <v>0</v>
      </c>
      <c r="M150" s="8">
        <f t="shared" si="43"/>
        <v>1829</v>
      </c>
      <c r="N150" s="4" t="s">
        <v>24</v>
      </c>
      <c r="O150" s="6">
        <v>4</v>
      </c>
      <c r="P150" s="6">
        <v>200</v>
      </c>
      <c r="Q150" s="6">
        <v>7</v>
      </c>
      <c r="R150" s="4" t="s">
        <v>322</v>
      </c>
      <c r="S150" s="3">
        <v>995</v>
      </c>
      <c r="T150" s="4" t="s">
        <v>186</v>
      </c>
    </row>
    <row r="151" spans="1:20" ht="14.4">
      <c r="A151" s="3">
        <v>78</v>
      </c>
      <c r="B151" s="4" t="s">
        <v>174</v>
      </c>
      <c r="C151" s="4" t="s">
        <v>103</v>
      </c>
      <c r="D151" s="4" t="s">
        <v>323</v>
      </c>
      <c r="E151" s="6">
        <v>3364</v>
      </c>
      <c r="F151" s="6">
        <v>3682</v>
      </c>
      <c r="G151" s="7">
        <f>F151-E151</f>
        <v>318</v>
      </c>
      <c r="H151" s="6">
        <v>3861</v>
      </c>
      <c r="I151" s="7">
        <f t="shared" si="9"/>
        <v>179</v>
      </c>
      <c r="J151" s="6" t="s">
        <v>23</v>
      </c>
      <c r="K151" s="6" t="s">
        <v>23</v>
      </c>
      <c r="L151" s="8">
        <f>G151*Q151+P151+O151*115</f>
        <v>2886</v>
      </c>
      <c r="M151" s="8">
        <f t="shared" si="43"/>
        <v>1913</v>
      </c>
      <c r="N151" s="4" t="s">
        <v>24</v>
      </c>
      <c r="O151" s="6">
        <v>4</v>
      </c>
      <c r="P151" s="6">
        <v>200</v>
      </c>
      <c r="Q151" s="6">
        <v>7</v>
      </c>
      <c r="R151" s="4" t="s">
        <v>324</v>
      </c>
      <c r="S151" s="3">
        <v>995</v>
      </c>
      <c r="T151" s="4" t="s">
        <v>186</v>
      </c>
    </row>
    <row r="152" spans="1:20" ht="14.4">
      <c r="A152" s="3">
        <v>79</v>
      </c>
      <c r="B152" s="4" t="s">
        <v>174</v>
      </c>
      <c r="C152" s="4" t="s">
        <v>103</v>
      </c>
      <c r="D152" s="4" t="s">
        <v>325</v>
      </c>
      <c r="E152" s="6">
        <f>J152</f>
        <v>0</v>
      </c>
      <c r="F152" s="6">
        <v>1507</v>
      </c>
      <c r="G152" s="7">
        <v>0</v>
      </c>
      <c r="H152" s="6">
        <v>1628</v>
      </c>
      <c r="I152" s="7">
        <f t="shared" si="9"/>
        <v>121</v>
      </c>
      <c r="J152" s="6">
        <v>0</v>
      </c>
      <c r="K152" s="6" t="s">
        <v>23</v>
      </c>
      <c r="L152" s="8">
        <v>0</v>
      </c>
      <c r="M152" s="8">
        <f t="shared" si="43"/>
        <v>1507</v>
      </c>
      <c r="N152" s="4" t="s">
        <v>24</v>
      </c>
      <c r="O152" s="6">
        <v>4</v>
      </c>
      <c r="P152" s="6">
        <v>200</v>
      </c>
      <c r="Q152" s="6">
        <v>7</v>
      </c>
      <c r="R152" s="4" t="s">
        <v>326</v>
      </c>
      <c r="S152" s="3">
        <v>1290</v>
      </c>
      <c r="T152" s="4" t="s">
        <v>177</v>
      </c>
    </row>
    <row r="153" spans="1:20" ht="14.4">
      <c r="A153" s="3">
        <v>80</v>
      </c>
      <c r="B153" s="4" t="s">
        <v>174</v>
      </c>
      <c r="C153" s="4" t="s">
        <v>103</v>
      </c>
      <c r="D153" s="9" t="s">
        <v>327</v>
      </c>
      <c r="E153" s="6">
        <v>0</v>
      </c>
      <c r="F153" s="6">
        <v>4765</v>
      </c>
      <c r="G153" s="7">
        <v>0</v>
      </c>
      <c r="H153" s="6">
        <v>5621</v>
      </c>
      <c r="I153" s="7">
        <f t="shared" si="9"/>
        <v>856</v>
      </c>
      <c r="J153" s="6" t="s">
        <v>23</v>
      </c>
      <c r="K153" s="6" t="s">
        <v>23</v>
      </c>
      <c r="L153" s="8">
        <f>G153*Q153+P153+O153*115</f>
        <v>660</v>
      </c>
      <c r="M153" s="8">
        <f t="shared" si="43"/>
        <v>6652</v>
      </c>
      <c r="N153" s="4" t="s">
        <v>24</v>
      </c>
      <c r="O153" s="6">
        <v>4</v>
      </c>
      <c r="P153" s="6">
        <v>200</v>
      </c>
      <c r="Q153" s="6">
        <v>7</v>
      </c>
      <c r="R153" s="4" t="s">
        <v>328</v>
      </c>
      <c r="S153" s="3">
        <v>1290</v>
      </c>
      <c r="T153" s="4" t="s">
        <v>177</v>
      </c>
    </row>
    <row r="154" spans="1:20" ht="14.4">
      <c r="A154" s="3">
        <v>81</v>
      </c>
      <c r="B154" s="4" t="s">
        <v>174</v>
      </c>
      <c r="C154" s="4" t="s">
        <v>112</v>
      </c>
      <c r="D154" s="4" t="s">
        <v>329</v>
      </c>
      <c r="E154" s="6">
        <f t="shared" ref="E154:E159" si="47">J154</f>
        <v>0</v>
      </c>
      <c r="F154" s="6">
        <v>4647</v>
      </c>
      <c r="G154" s="7">
        <v>0</v>
      </c>
      <c r="H154" s="6">
        <v>4809</v>
      </c>
      <c r="I154" s="7">
        <f t="shared" si="9"/>
        <v>162</v>
      </c>
      <c r="J154" s="6">
        <v>0</v>
      </c>
      <c r="K154" s="6" t="s">
        <v>23</v>
      </c>
      <c r="L154" s="8">
        <v>0</v>
      </c>
      <c r="M154" s="8">
        <f t="shared" si="43"/>
        <v>1794</v>
      </c>
      <c r="N154" s="4" t="s">
        <v>24</v>
      </c>
      <c r="O154" s="6">
        <v>4</v>
      </c>
      <c r="P154" s="6">
        <v>200</v>
      </c>
      <c r="Q154" s="6">
        <v>7</v>
      </c>
      <c r="R154" s="4" t="s">
        <v>330</v>
      </c>
      <c r="S154" s="3">
        <v>1290</v>
      </c>
      <c r="T154" s="4" t="s">
        <v>177</v>
      </c>
    </row>
    <row r="155" spans="1:20" ht="14.4">
      <c r="A155" s="3">
        <v>82</v>
      </c>
      <c r="B155" s="4" t="s">
        <v>174</v>
      </c>
      <c r="C155" s="4" t="s">
        <v>112</v>
      </c>
      <c r="D155" s="4" t="s">
        <v>331</v>
      </c>
      <c r="E155" s="6">
        <f t="shared" si="47"/>
        <v>0</v>
      </c>
      <c r="F155" s="6">
        <v>4893</v>
      </c>
      <c r="G155" s="7">
        <v>0</v>
      </c>
      <c r="H155" s="6">
        <v>5135</v>
      </c>
      <c r="I155" s="7">
        <f t="shared" si="9"/>
        <v>242</v>
      </c>
      <c r="J155" s="6">
        <v>0</v>
      </c>
      <c r="K155" s="6">
        <v>0</v>
      </c>
      <c r="L155" s="8">
        <v>0</v>
      </c>
      <c r="M155" s="8">
        <f t="shared" si="43"/>
        <v>2354</v>
      </c>
      <c r="N155" s="4" t="s">
        <v>24</v>
      </c>
      <c r="O155" s="6">
        <v>4</v>
      </c>
      <c r="P155" s="6">
        <v>200</v>
      </c>
      <c r="Q155" s="6">
        <v>7</v>
      </c>
      <c r="R155" s="4" t="s">
        <v>332</v>
      </c>
      <c r="S155" s="3">
        <v>1290</v>
      </c>
      <c r="T155" s="4" t="s">
        <v>177</v>
      </c>
    </row>
    <row r="156" spans="1:20" ht="14.4">
      <c r="A156" s="3">
        <v>83</v>
      </c>
      <c r="B156" s="4" t="s">
        <v>174</v>
      </c>
      <c r="C156" s="4" t="s">
        <v>112</v>
      </c>
      <c r="D156" s="4" t="s">
        <v>333</v>
      </c>
      <c r="E156" s="6">
        <f t="shared" si="47"/>
        <v>0</v>
      </c>
      <c r="F156" s="6">
        <v>0</v>
      </c>
      <c r="G156" s="7">
        <v>0</v>
      </c>
      <c r="H156" s="6">
        <v>13</v>
      </c>
      <c r="I156" s="7">
        <f t="shared" si="9"/>
        <v>13</v>
      </c>
      <c r="J156" s="6">
        <v>0</v>
      </c>
      <c r="K156" s="6">
        <v>0</v>
      </c>
      <c r="L156" s="8">
        <v>0</v>
      </c>
      <c r="M156" s="8">
        <f t="shared" si="43"/>
        <v>751</v>
      </c>
      <c r="N156" s="4" t="s">
        <v>24</v>
      </c>
      <c r="O156" s="6">
        <v>4</v>
      </c>
      <c r="P156" s="6">
        <v>200</v>
      </c>
      <c r="Q156" s="6">
        <v>7</v>
      </c>
      <c r="R156" s="4" t="s">
        <v>334</v>
      </c>
      <c r="S156" s="3">
        <v>1290</v>
      </c>
      <c r="T156" s="4" t="s">
        <v>177</v>
      </c>
    </row>
    <row r="157" spans="1:20" ht="14.4">
      <c r="A157" s="3">
        <v>84</v>
      </c>
      <c r="B157" s="4" t="s">
        <v>174</v>
      </c>
      <c r="C157" s="4" t="s">
        <v>112</v>
      </c>
      <c r="D157" s="4" t="s">
        <v>335</v>
      </c>
      <c r="E157" s="6">
        <f t="shared" si="47"/>
        <v>0</v>
      </c>
      <c r="F157" s="6">
        <v>8962</v>
      </c>
      <c r="G157" s="7">
        <v>0</v>
      </c>
      <c r="H157" s="6">
        <v>9177</v>
      </c>
      <c r="I157" s="7">
        <f t="shared" si="9"/>
        <v>215</v>
      </c>
      <c r="J157" s="6">
        <v>0</v>
      </c>
      <c r="K157" s="6" t="s">
        <v>23</v>
      </c>
      <c r="L157" s="8">
        <v>0</v>
      </c>
      <c r="M157" s="8">
        <f t="shared" si="43"/>
        <v>2165</v>
      </c>
      <c r="N157" s="4" t="s">
        <v>24</v>
      </c>
      <c r="O157" s="6">
        <v>4</v>
      </c>
      <c r="P157" s="6">
        <v>200</v>
      </c>
      <c r="Q157" s="6">
        <v>7</v>
      </c>
      <c r="R157" s="4"/>
      <c r="S157" s="3">
        <v>1290</v>
      </c>
      <c r="T157" s="4" t="s">
        <v>177</v>
      </c>
    </row>
    <row r="158" spans="1:20" ht="14.4">
      <c r="A158" s="3">
        <v>85</v>
      </c>
      <c r="B158" s="4" t="s">
        <v>174</v>
      </c>
      <c r="C158" s="4" t="s">
        <v>112</v>
      </c>
      <c r="D158" s="4" t="s">
        <v>336</v>
      </c>
      <c r="E158" s="6">
        <f t="shared" si="47"/>
        <v>0</v>
      </c>
      <c r="F158" s="6">
        <v>5340</v>
      </c>
      <c r="G158" s="7">
        <v>0</v>
      </c>
      <c r="H158" s="6">
        <v>5530</v>
      </c>
      <c r="I158" s="7">
        <f t="shared" si="9"/>
        <v>190</v>
      </c>
      <c r="J158" s="6">
        <v>0</v>
      </c>
      <c r="K158" s="6" t="s">
        <v>23</v>
      </c>
      <c r="L158" s="8">
        <v>0</v>
      </c>
      <c r="M158" s="8">
        <f t="shared" si="43"/>
        <v>1990</v>
      </c>
      <c r="N158" s="4" t="s">
        <v>24</v>
      </c>
      <c r="O158" s="6">
        <v>4</v>
      </c>
      <c r="P158" s="6">
        <v>200</v>
      </c>
      <c r="Q158" s="6">
        <v>7</v>
      </c>
      <c r="R158" s="4" t="s">
        <v>337</v>
      </c>
      <c r="S158" s="3">
        <v>995</v>
      </c>
      <c r="T158" s="4" t="s">
        <v>186</v>
      </c>
    </row>
    <row r="159" spans="1:20" ht="14.4">
      <c r="A159" s="3">
        <v>86</v>
      </c>
      <c r="B159" s="4" t="s">
        <v>174</v>
      </c>
      <c r="C159" s="4" t="s">
        <v>112</v>
      </c>
      <c r="D159" s="4" t="s">
        <v>338</v>
      </c>
      <c r="E159" s="6">
        <f t="shared" si="47"/>
        <v>0</v>
      </c>
      <c r="F159" s="6">
        <v>3441</v>
      </c>
      <c r="G159" s="7">
        <v>0</v>
      </c>
      <c r="H159" s="6">
        <v>4075</v>
      </c>
      <c r="I159" s="7">
        <f t="shared" si="9"/>
        <v>634</v>
      </c>
      <c r="J159" s="6">
        <v>0</v>
      </c>
      <c r="K159" s="6" t="s">
        <v>23</v>
      </c>
      <c r="L159" s="8">
        <v>0</v>
      </c>
      <c r="M159" s="8">
        <f t="shared" si="43"/>
        <v>5098</v>
      </c>
      <c r="N159" s="4" t="s">
        <v>24</v>
      </c>
      <c r="O159" s="6">
        <v>4</v>
      </c>
      <c r="P159" s="6">
        <v>200</v>
      </c>
      <c r="Q159" s="6">
        <v>7</v>
      </c>
      <c r="R159" s="4" t="s">
        <v>339</v>
      </c>
      <c r="S159" s="3">
        <v>995</v>
      </c>
      <c r="T159" s="4" t="s">
        <v>186</v>
      </c>
    </row>
    <row r="160" spans="1:20" ht="14.4">
      <c r="A160" s="3">
        <v>87</v>
      </c>
      <c r="B160" s="4" t="s">
        <v>174</v>
      </c>
      <c r="C160" s="4" t="s">
        <v>112</v>
      </c>
      <c r="D160" s="4" t="s">
        <v>340</v>
      </c>
      <c r="E160" s="6">
        <v>9780</v>
      </c>
      <c r="F160" s="6">
        <v>11091</v>
      </c>
      <c r="G160" s="7">
        <f>F160-E160</f>
        <v>1311</v>
      </c>
      <c r="H160" s="6">
        <v>12581</v>
      </c>
      <c r="I160" s="7">
        <f t="shared" si="9"/>
        <v>1490</v>
      </c>
      <c r="J160" s="6">
        <v>0</v>
      </c>
      <c r="K160" s="6" t="s">
        <v>23</v>
      </c>
      <c r="L160" s="8">
        <f>G160*Q160+P160+O160*115</f>
        <v>9837</v>
      </c>
      <c r="M160" s="8">
        <f t="shared" si="43"/>
        <v>11090</v>
      </c>
      <c r="N160" s="4" t="s">
        <v>24</v>
      </c>
      <c r="O160" s="6">
        <v>4</v>
      </c>
      <c r="P160" s="6">
        <v>200</v>
      </c>
      <c r="Q160" s="6">
        <v>7</v>
      </c>
      <c r="R160" s="4"/>
      <c r="S160" s="3">
        <v>1290</v>
      </c>
      <c r="T160" s="4" t="s">
        <v>177</v>
      </c>
    </row>
    <row r="161" spans="1:20" ht="14.4">
      <c r="A161" s="3">
        <v>88</v>
      </c>
      <c r="B161" s="4" t="s">
        <v>174</v>
      </c>
      <c r="C161" s="4" t="s">
        <v>112</v>
      </c>
      <c r="D161" s="4" t="s">
        <v>341</v>
      </c>
      <c r="E161" s="6">
        <f t="shared" ref="E161:E162" si="48">J161</f>
        <v>0</v>
      </c>
      <c r="F161" s="6">
        <v>0</v>
      </c>
      <c r="G161" s="7">
        <v>0</v>
      </c>
      <c r="H161" s="6">
        <v>0</v>
      </c>
      <c r="I161" s="7">
        <f t="shared" si="9"/>
        <v>0</v>
      </c>
      <c r="J161" s="6">
        <v>0</v>
      </c>
      <c r="K161" s="6">
        <v>0</v>
      </c>
      <c r="L161" s="8">
        <v>0</v>
      </c>
      <c r="M161" s="8">
        <v>0</v>
      </c>
      <c r="N161" s="4" t="s">
        <v>24</v>
      </c>
      <c r="O161" s="6">
        <v>4</v>
      </c>
      <c r="P161" s="6">
        <v>200</v>
      </c>
      <c r="Q161" s="6">
        <v>7</v>
      </c>
      <c r="R161" s="4"/>
      <c r="S161" s="3">
        <v>1290</v>
      </c>
      <c r="T161" s="4" t="s">
        <v>177</v>
      </c>
    </row>
    <row r="162" spans="1:20" ht="14.4">
      <c r="A162" s="3">
        <v>89</v>
      </c>
      <c r="B162" s="4" t="s">
        <v>174</v>
      </c>
      <c r="C162" s="4" t="s">
        <v>342</v>
      </c>
      <c r="D162" s="4" t="s">
        <v>343</v>
      </c>
      <c r="E162" s="6">
        <f t="shared" si="48"/>
        <v>0</v>
      </c>
      <c r="F162" s="6">
        <v>21064</v>
      </c>
      <c r="G162" s="7">
        <v>0</v>
      </c>
      <c r="H162" s="6">
        <v>21450</v>
      </c>
      <c r="I162" s="7">
        <f t="shared" si="9"/>
        <v>386</v>
      </c>
      <c r="J162" s="6">
        <v>0</v>
      </c>
      <c r="K162" s="6" t="s">
        <v>23</v>
      </c>
      <c r="L162" s="8">
        <v>0</v>
      </c>
      <c r="M162" s="8">
        <f t="shared" ref="M162:M172" si="49">I162*Q162+P162+O162*115</f>
        <v>3362</v>
      </c>
      <c r="N162" s="4" t="s">
        <v>24</v>
      </c>
      <c r="O162" s="6">
        <v>4</v>
      </c>
      <c r="P162" s="6">
        <v>200</v>
      </c>
      <c r="Q162" s="6">
        <v>7</v>
      </c>
      <c r="R162" s="4" t="s">
        <v>344</v>
      </c>
      <c r="S162" s="3">
        <v>1290</v>
      </c>
      <c r="T162" s="4" t="s">
        <v>177</v>
      </c>
    </row>
    <row r="163" spans="1:20" ht="14.4">
      <c r="A163" s="3">
        <v>90</v>
      </c>
      <c r="B163" s="4" t="s">
        <v>174</v>
      </c>
      <c r="C163" s="4" t="s">
        <v>342</v>
      </c>
      <c r="D163" s="4" t="s">
        <v>345</v>
      </c>
      <c r="E163" s="6">
        <v>10853</v>
      </c>
      <c r="F163" s="6">
        <v>10911</v>
      </c>
      <c r="G163" s="7">
        <f>F163-E163</f>
        <v>58</v>
      </c>
      <c r="H163" s="6">
        <v>11620</v>
      </c>
      <c r="I163" s="7">
        <f t="shared" si="9"/>
        <v>709</v>
      </c>
      <c r="J163" s="6" t="s">
        <v>23</v>
      </c>
      <c r="K163" s="6" t="s">
        <v>23</v>
      </c>
      <c r="L163" s="8">
        <f>G163*Q163+P163+O163*115</f>
        <v>1066</v>
      </c>
      <c r="M163" s="8">
        <f t="shared" si="49"/>
        <v>5623</v>
      </c>
      <c r="N163" s="4" t="s">
        <v>24</v>
      </c>
      <c r="O163" s="6">
        <v>4</v>
      </c>
      <c r="P163" s="6">
        <v>200</v>
      </c>
      <c r="Q163" s="6">
        <v>7</v>
      </c>
      <c r="R163" s="4" t="s">
        <v>346</v>
      </c>
      <c r="S163" s="3">
        <v>1290</v>
      </c>
      <c r="T163" s="4" t="s">
        <v>177</v>
      </c>
    </row>
    <row r="164" spans="1:20" ht="14.4">
      <c r="A164" s="3">
        <v>91</v>
      </c>
      <c r="B164" s="4" t="s">
        <v>174</v>
      </c>
      <c r="C164" s="4" t="s">
        <v>342</v>
      </c>
      <c r="D164" s="4" t="s">
        <v>347</v>
      </c>
      <c r="E164" s="6">
        <f t="shared" ref="E164:E167" si="50">J164</f>
        <v>0</v>
      </c>
      <c r="F164" s="6">
        <v>8882</v>
      </c>
      <c r="G164" s="7">
        <v>0</v>
      </c>
      <c r="H164" s="6">
        <v>9214</v>
      </c>
      <c r="I164" s="7">
        <f t="shared" si="9"/>
        <v>332</v>
      </c>
      <c r="J164" s="6">
        <v>0</v>
      </c>
      <c r="K164" s="6" t="s">
        <v>23</v>
      </c>
      <c r="L164" s="8">
        <v>0</v>
      </c>
      <c r="M164" s="8">
        <f t="shared" si="49"/>
        <v>2984</v>
      </c>
      <c r="N164" s="4" t="s">
        <v>24</v>
      </c>
      <c r="O164" s="6">
        <v>4</v>
      </c>
      <c r="P164" s="6">
        <v>200</v>
      </c>
      <c r="Q164" s="6">
        <v>7</v>
      </c>
      <c r="R164" s="4" t="s">
        <v>348</v>
      </c>
      <c r="S164" s="3">
        <v>1290</v>
      </c>
      <c r="T164" s="4" t="s">
        <v>177</v>
      </c>
    </row>
    <row r="165" spans="1:20" ht="14.4">
      <c r="A165" s="3">
        <v>92</v>
      </c>
      <c r="B165" s="4" t="s">
        <v>174</v>
      </c>
      <c r="C165" s="4" t="s">
        <v>342</v>
      </c>
      <c r="D165" s="4" t="s">
        <v>349</v>
      </c>
      <c r="E165" s="6">
        <f t="shared" si="50"/>
        <v>0</v>
      </c>
      <c r="F165" s="6">
        <v>11169</v>
      </c>
      <c r="G165" s="7">
        <v>0</v>
      </c>
      <c r="H165" s="6">
        <v>11247</v>
      </c>
      <c r="I165" s="7">
        <f t="shared" si="9"/>
        <v>78</v>
      </c>
      <c r="J165" s="6">
        <v>0</v>
      </c>
      <c r="K165" s="6" t="s">
        <v>23</v>
      </c>
      <c r="L165" s="8">
        <v>0</v>
      </c>
      <c r="M165" s="8">
        <f t="shared" si="49"/>
        <v>1206</v>
      </c>
      <c r="N165" s="4" t="s">
        <v>24</v>
      </c>
      <c r="O165" s="6">
        <v>4</v>
      </c>
      <c r="P165" s="6">
        <v>200</v>
      </c>
      <c r="Q165" s="6">
        <v>7</v>
      </c>
      <c r="R165" s="4" t="s">
        <v>350</v>
      </c>
      <c r="S165" s="3">
        <v>1290</v>
      </c>
      <c r="T165" s="4" t="s">
        <v>177</v>
      </c>
    </row>
    <row r="166" spans="1:20" ht="14.4">
      <c r="A166" s="3">
        <v>93</v>
      </c>
      <c r="B166" s="4" t="s">
        <v>174</v>
      </c>
      <c r="C166" s="4" t="s">
        <v>342</v>
      </c>
      <c r="D166" s="4" t="s">
        <v>351</v>
      </c>
      <c r="E166" s="6">
        <f t="shared" si="50"/>
        <v>0</v>
      </c>
      <c r="F166" s="6">
        <v>12166</v>
      </c>
      <c r="G166" s="7">
        <v>0</v>
      </c>
      <c r="H166" s="6">
        <v>12892</v>
      </c>
      <c r="I166" s="7">
        <f t="shared" si="9"/>
        <v>726</v>
      </c>
      <c r="J166" s="6">
        <v>0</v>
      </c>
      <c r="K166" s="6" t="s">
        <v>23</v>
      </c>
      <c r="L166" s="8">
        <v>0</v>
      </c>
      <c r="M166" s="8">
        <f t="shared" si="49"/>
        <v>5742</v>
      </c>
      <c r="N166" s="4" t="s">
        <v>24</v>
      </c>
      <c r="O166" s="6">
        <v>4</v>
      </c>
      <c r="P166" s="6">
        <v>200</v>
      </c>
      <c r="Q166" s="6">
        <v>7</v>
      </c>
      <c r="R166" s="4" t="s">
        <v>352</v>
      </c>
      <c r="S166" s="3">
        <v>995</v>
      </c>
      <c r="T166" s="4" t="s">
        <v>186</v>
      </c>
    </row>
    <row r="167" spans="1:20" ht="14.4">
      <c r="A167" s="3">
        <v>94</v>
      </c>
      <c r="B167" s="4" t="s">
        <v>174</v>
      </c>
      <c r="C167" s="4" t="s">
        <v>342</v>
      </c>
      <c r="D167" s="4" t="s">
        <v>353</v>
      </c>
      <c r="E167" s="6">
        <f t="shared" si="50"/>
        <v>0</v>
      </c>
      <c r="F167" s="6">
        <v>10266</v>
      </c>
      <c r="G167" s="7">
        <v>0</v>
      </c>
      <c r="H167" s="6">
        <v>10392</v>
      </c>
      <c r="I167" s="7">
        <f t="shared" si="9"/>
        <v>126</v>
      </c>
      <c r="J167" s="6">
        <v>0</v>
      </c>
      <c r="K167" s="6" t="s">
        <v>23</v>
      </c>
      <c r="L167" s="8">
        <v>0</v>
      </c>
      <c r="M167" s="8">
        <f t="shared" si="49"/>
        <v>1542</v>
      </c>
      <c r="N167" s="4" t="s">
        <v>24</v>
      </c>
      <c r="O167" s="6">
        <v>4</v>
      </c>
      <c r="P167" s="6">
        <v>200</v>
      </c>
      <c r="Q167" s="6">
        <v>7</v>
      </c>
      <c r="R167" s="4" t="s">
        <v>354</v>
      </c>
      <c r="S167" s="3">
        <v>995</v>
      </c>
      <c r="T167" s="4" t="s">
        <v>186</v>
      </c>
    </row>
    <row r="168" spans="1:20" ht="14.4">
      <c r="A168" s="3">
        <v>95</v>
      </c>
      <c r="B168" s="4" t="s">
        <v>174</v>
      </c>
      <c r="C168" s="4" t="s">
        <v>342</v>
      </c>
      <c r="D168" s="9" t="s">
        <v>355</v>
      </c>
      <c r="E168" s="6">
        <v>0</v>
      </c>
      <c r="F168" s="6">
        <v>95</v>
      </c>
      <c r="G168" s="7">
        <v>0</v>
      </c>
      <c r="H168" s="6">
        <v>220</v>
      </c>
      <c r="I168" s="7">
        <f t="shared" si="9"/>
        <v>125</v>
      </c>
      <c r="J168" s="6" t="s">
        <v>23</v>
      </c>
      <c r="K168" s="6" t="s">
        <v>23</v>
      </c>
      <c r="L168" s="8">
        <f t="shared" ref="L168:L169" si="51">G168*Q168+P168+O168*115</f>
        <v>660</v>
      </c>
      <c r="M168" s="8">
        <f t="shared" si="49"/>
        <v>1535</v>
      </c>
      <c r="N168" s="4" t="s">
        <v>24</v>
      </c>
      <c r="O168" s="6">
        <v>4</v>
      </c>
      <c r="P168" s="6">
        <v>200</v>
      </c>
      <c r="Q168" s="6">
        <v>7</v>
      </c>
      <c r="R168" s="4" t="s">
        <v>356</v>
      </c>
      <c r="S168" s="3">
        <v>1290</v>
      </c>
      <c r="T168" s="4" t="s">
        <v>177</v>
      </c>
    </row>
    <row r="169" spans="1:20" ht="14.4">
      <c r="A169" s="3">
        <v>96</v>
      </c>
      <c r="B169" s="4" t="s">
        <v>174</v>
      </c>
      <c r="C169" s="4" t="s">
        <v>342</v>
      </c>
      <c r="D169" s="4" t="s">
        <v>357</v>
      </c>
      <c r="E169" s="6">
        <v>9478</v>
      </c>
      <c r="F169" s="6">
        <v>10105</v>
      </c>
      <c r="G169" s="7">
        <f>F169-E169</f>
        <v>627</v>
      </c>
      <c r="H169" s="6">
        <v>10559</v>
      </c>
      <c r="I169" s="7">
        <f t="shared" si="9"/>
        <v>454</v>
      </c>
      <c r="J169" s="6" t="s">
        <v>23</v>
      </c>
      <c r="K169" s="6" t="s">
        <v>23</v>
      </c>
      <c r="L169" s="8">
        <f t="shared" si="51"/>
        <v>5049</v>
      </c>
      <c r="M169" s="8">
        <f t="shared" si="49"/>
        <v>3838</v>
      </c>
      <c r="N169" s="4" t="s">
        <v>24</v>
      </c>
      <c r="O169" s="6">
        <v>4</v>
      </c>
      <c r="P169" s="6">
        <v>200</v>
      </c>
      <c r="Q169" s="6">
        <v>7</v>
      </c>
      <c r="R169" s="4" t="s">
        <v>358</v>
      </c>
      <c r="S169" s="3">
        <v>1290</v>
      </c>
      <c r="T169" s="4" t="s">
        <v>177</v>
      </c>
    </row>
    <row r="170" spans="1:20" ht="14.4">
      <c r="A170" s="3">
        <v>97</v>
      </c>
      <c r="B170" s="4" t="s">
        <v>174</v>
      </c>
      <c r="C170" s="4" t="s">
        <v>128</v>
      </c>
      <c r="D170" s="4" t="s">
        <v>359</v>
      </c>
      <c r="E170" s="6">
        <f t="shared" ref="E170:E175" si="52">J170</f>
        <v>0</v>
      </c>
      <c r="F170" s="6">
        <v>2974</v>
      </c>
      <c r="G170" s="7">
        <v>0</v>
      </c>
      <c r="H170" s="6">
        <v>3172</v>
      </c>
      <c r="I170" s="7">
        <f t="shared" si="9"/>
        <v>198</v>
      </c>
      <c r="J170" s="6">
        <v>0</v>
      </c>
      <c r="K170" s="6" t="s">
        <v>23</v>
      </c>
      <c r="L170" s="8">
        <v>0</v>
      </c>
      <c r="M170" s="8">
        <f t="shared" si="49"/>
        <v>2046</v>
      </c>
      <c r="N170" s="4" t="s">
        <v>24</v>
      </c>
      <c r="O170" s="6">
        <v>4</v>
      </c>
      <c r="P170" s="6">
        <v>200</v>
      </c>
      <c r="Q170" s="6">
        <v>7</v>
      </c>
      <c r="R170" s="4" t="s">
        <v>360</v>
      </c>
      <c r="S170" s="3">
        <v>1290</v>
      </c>
      <c r="T170" s="4" t="s">
        <v>177</v>
      </c>
    </row>
    <row r="171" spans="1:20" ht="14.4">
      <c r="A171" s="3">
        <v>98</v>
      </c>
      <c r="B171" s="4" t="s">
        <v>174</v>
      </c>
      <c r="C171" s="4" t="s">
        <v>128</v>
      </c>
      <c r="D171" s="4" t="s">
        <v>361</v>
      </c>
      <c r="E171" s="6">
        <f t="shared" si="52"/>
        <v>0</v>
      </c>
      <c r="F171" s="6">
        <v>25259</v>
      </c>
      <c r="G171" s="7">
        <v>0</v>
      </c>
      <c r="H171" s="6">
        <v>25664</v>
      </c>
      <c r="I171" s="7">
        <f t="shared" si="9"/>
        <v>405</v>
      </c>
      <c r="J171" s="6">
        <v>0</v>
      </c>
      <c r="K171" s="6" t="s">
        <v>23</v>
      </c>
      <c r="L171" s="8">
        <v>0</v>
      </c>
      <c r="M171" s="8">
        <f t="shared" si="49"/>
        <v>3495</v>
      </c>
      <c r="N171" s="4" t="s">
        <v>24</v>
      </c>
      <c r="O171" s="6">
        <v>4</v>
      </c>
      <c r="P171" s="6">
        <v>200</v>
      </c>
      <c r="Q171" s="6">
        <v>7</v>
      </c>
      <c r="R171" s="4" t="s">
        <v>362</v>
      </c>
      <c r="S171" s="3">
        <v>1290</v>
      </c>
      <c r="T171" s="4" t="s">
        <v>177</v>
      </c>
    </row>
    <row r="172" spans="1:20" ht="14.4">
      <c r="A172" s="3">
        <v>99</v>
      </c>
      <c r="B172" s="4" t="s">
        <v>174</v>
      </c>
      <c r="C172" s="4" t="s">
        <v>128</v>
      </c>
      <c r="D172" s="4" t="s">
        <v>363</v>
      </c>
      <c r="E172" s="6">
        <f t="shared" si="52"/>
        <v>0</v>
      </c>
      <c r="F172" s="6">
        <v>9461</v>
      </c>
      <c r="G172" s="7">
        <v>0</v>
      </c>
      <c r="H172" s="6">
        <v>9586</v>
      </c>
      <c r="I172" s="7">
        <f t="shared" si="9"/>
        <v>125</v>
      </c>
      <c r="J172" s="6">
        <v>0</v>
      </c>
      <c r="K172" s="6" t="s">
        <v>23</v>
      </c>
      <c r="L172" s="8">
        <v>0</v>
      </c>
      <c r="M172" s="8">
        <f t="shared" si="49"/>
        <v>1535</v>
      </c>
      <c r="N172" s="4" t="s">
        <v>24</v>
      </c>
      <c r="O172" s="6">
        <v>4</v>
      </c>
      <c r="P172" s="6">
        <v>200</v>
      </c>
      <c r="Q172" s="6">
        <v>7</v>
      </c>
      <c r="R172" s="4" t="s">
        <v>364</v>
      </c>
      <c r="S172" s="3">
        <v>1290</v>
      </c>
      <c r="T172" s="4" t="s">
        <v>177</v>
      </c>
    </row>
    <row r="173" spans="1:20" ht="14.4">
      <c r="A173" s="3">
        <v>100</v>
      </c>
      <c r="B173" s="4" t="s">
        <v>174</v>
      </c>
      <c r="C173" s="4" t="s">
        <v>128</v>
      </c>
      <c r="D173" s="4" t="s">
        <v>365</v>
      </c>
      <c r="E173" s="6">
        <f t="shared" si="52"/>
        <v>0</v>
      </c>
      <c r="F173" s="6">
        <v>2886</v>
      </c>
      <c r="G173" s="7">
        <v>0</v>
      </c>
      <c r="H173" s="6">
        <v>2886</v>
      </c>
      <c r="I173" s="7">
        <f t="shared" si="9"/>
        <v>0</v>
      </c>
      <c r="J173" s="6">
        <v>0</v>
      </c>
      <c r="K173" s="6">
        <v>0</v>
      </c>
      <c r="L173" s="8">
        <v>0</v>
      </c>
      <c r="M173" s="8">
        <v>0</v>
      </c>
      <c r="N173" s="4" t="s">
        <v>24</v>
      </c>
      <c r="O173" s="6">
        <v>4</v>
      </c>
      <c r="P173" s="6">
        <v>200</v>
      </c>
      <c r="Q173" s="6">
        <v>7</v>
      </c>
      <c r="R173" s="4" t="s">
        <v>366</v>
      </c>
      <c r="S173" s="3">
        <v>1290</v>
      </c>
      <c r="T173" s="4" t="s">
        <v>177</v>
      </c>
    </row>
    <row r="174" spans="1:20" ht="14.4">
      <c r="A174" s="3">
        <v>101</v>
      </c>
      <c r="B174" s="4" t="s">
        <v>174</v>
      </c>
      <c r="C174" s="4" t="s">
        <v>128</v>
      </c>
      <c r="D174" s="4" t="s">
        <v>367</v>
      </c>
      <c r="E174" s="6">
        <f t="shared" si="52"/>
        <v>0</v>
      </c>
      <c r="F174" s="6">
        <v>9295</v>
      </c>
      <c r="G174" s="7">
        <v>0</v>
      </c>
      <c r="H174" s="6">
        <v>9444</v>
      </c>
      <c r="I174" s="7">
        <f t="shared" si="9"/>
        <v>149</v>
      </c>
      <c r="J174" s="6">
        <v>0</v>
      </c>
      <c r="K174" s="6" t="s">
        <v>23</v>
      </c>
      <c r="L174" s="8">
        <v>0</v>
      </c>
      <c r="M174" s="8">
        <f t="shared" ref="M174:M176" si="53">I174*Q174+P174+O174*115</f>
        <v>1703</v>
      </c>
      <c r="N174" s="4" t="s">
        <v>24</v>
      </c>
      <c r="O174" s="6">
        <v>4</v>
      </c>
      <c r="P174" s="6">
        <v>200</v>
      </c>
      <c r="Q174" s="6">
        <v>7</v>
      </c>
      <c r="R174" s="4" t="s">
        <v>368</v>
      </c>
      <c r="S174" s="3">
        <v>995</v>
      </c>
      <c r="T174" s="4" t="s">
        <v>186</v>
      </c>
    </row>
    <row r="175" spans="1:20" ht="14.4">
      <c r="A175" s="3">
        <v>102</v>
      </c>
      <c r="B175" s="4" t="s">
        <v>174</v>
      </c>
      <c r="C175" s="4" t="s">
        <v>128</v>
      </c>
      <c r="D175" s="4" t="s">
        <v>369</v>
      </c>
      <c r="E175" s="6">
        <f t="shared" si="52"/>
        <v>0</v>
      </c>
      <c r="F175" s="6">
        <v>15031</v>
      </c>
      <c r="G175" s="7">
        <v>0</v>
      </c>
      <c r="H175" s="6">
        <v>15476</v>
      </c>
      <c r="I175" s="7">
        <f t="shared" si="9"/>
        <v>445</v>
      </c>
      <c r="J175" s="6">
        <v>0</v>
      </c>
      <c r="K175" s="6" t="s">
        <v>23</v>
      </c>
      <c r="L175" s="8">
        <v>0</v>
      </c>
      <c r="M175" s="8">
        <f t="shared" si="53"/>
        <v>3775</v>
      </c>
      <c r="N175" s="4" t="s">
        <v>24</v>
      </c>
      <c r="O175" s="6">
        <v>4</v>
      </c>
      <c r="P175" s="6">
        <v>200</v>
      </c>
      <c r="Q175" s="6">
        <v>7</v>
      </c>
      <c r="R175" s="4" t="s">
        <v>370</v>
      </c>
      <c r="S175" s="3">
        <v>995</v>
      </c>
      <c r="T175" s="4" t="s">
        <v>186</v>
      </c>
    </row>
    <row r="176" spans="1:20" ht="14.4">
      <c r="A176" s="3">
        <v>103</v>
      </c>
      <c r="B176" s="4" t="s">
        <v>174</v>
      </c>
      <c r="C176" s="4" t="s">
        <v>128</v>
      </c>
      <c r="D176" s="4" t="s">
        <v>371</v>
      </c>
      <c r="E176" s="6">
        <v>19070</v>
      </c>
      <c r="F176" s="6">
        <v>20341</v>
      </c>
      <c r="G176" s="7">
        <f>F176-E176</f>
        <v>1271</v>
      </c>
      <c r="H176" s="6">
        <v>21396</v>
      </c>
      <c r="I176" s="7">
        <f t="shared" si="9"/>
        <v>1055</v>
      </c>
      <c r="J176" s="6">
        <v>0</v>
      </c>
      <c r="K176" s="6" t="s">
        <v>23</v>
      </c>
      <c r="L176" s="8">
        <f>G176*Q176+P176+O176*115</f>
        <v>9557</v>
      </c>
      <c r="M176" s="8">
        <f t="shared" si="53"/>
        <v>8045</v>
      </c>
      <c r="N176" s="4" t="s">
        <v>24</v>
      </c>
      <c r="O176" s="6">
        <v>4</v>
      </c>
      <c r="P176" s="6">
        <v>200</v>
      </c>
      <c r="Q176" s="6">
        <v>7</v>
      </c>
      <c r="R176" s="4" t="s">
        <v>372</v>
      </c>
      <c r="S176" s="3">
        <v>1290</v>
      </c>
      <c r="T176" s="4" t="s">
        <v>177</v>
      </c>
    </row>
    <row r="177" spans="1:20" ht="14.4">
      <c r="A177" s="3">
        <v>104</v>
      </c>
      <c r="B177" s="4" t="s">
        <v>174</v>
      </c>
      <c r="C177" s="4" t="s">
        <v>128</v>
      </c>
      <c r="D177" s="4" t="s">
        <v>373</v>
      </c>
      <c r="E177" s="6">
        <f t="shared" ref="E177:E264" si="54">J177</f>
        <v>0</v>
      </c>
      <c r="F177" s="6">
        <v>0</v>
      </c>
      <c r="G177" s="7">
        <v>0</v>
      </c>
      <c r="H177" s="6">
        <v>0</v>
      </c>
      <c r="I177" s="7">
        <f t="shared" si="9"/>
        <v>0</v>
      </c>
      <c r="J177" s="6">
        <v>0</v>
      </c>
      <c r="K177" s="6">
        <v>0</v>
      </c>
      <c r="L177" s="8">
        <v>0</v>
      </c>
      <c r="M177" s="8">
        <v>0</v>
      </c>
      <c r="N177" s="4" t="s">
        <v>24</v>
      </c>
      <c r="O177" s="6">
        <v>4</v>
      </c>
      <c r="P177" s="6">
        <v>200</v>
      </c>
      <c r="Q177" s="6">
        <v>7</v>
      </c>
      <c r="R177" s="4"/>
      <c r="S177" s="3">
        <v>1290</v>
      </c>
      <c r="T177" s="4" t="s">
        <v>177</v>
      </c>
    </row>
    <row r="178" spans="1:20" ht="14.4">
      <c r="A178" s="3">
        <v>105</v>
      </c>
      <c r="B178" s="4" t="s">
        <v>174</v>
      </c>
      <c r="C178" s="4" t="s">
        <v>374</v>
      </c>
      <c r="D178" s="4" t="s">
        <v>375</v>
      </c>
      <c r="E178" s="6">
        <f t="shared" si="54"/>
        <v>0</v>
      </c>
      <c r="F178" s="6">
        <v>1908</v>
      </c>
      <c r="G178" s="7">
        <v>0</v>
      </c>
      <c r="H178" s="6">
        <v>2219</v>
      </c>
      <c r="I178" s="7">
        <f t="shared" si="9"/>
        <v>311</v>
      </c>
      <c r="J178" s="6">
        <v>0</v>
      </c>
      <c r="K178" s="6" t="s">
        <v>23</v>
      </c>
      <c r="L178" s="8">
        <v>0</v>
      </c>
      <c r="M178" s="8">
        <f t="shared" ref="M178:M182" si="55">I178*Q178+P178+O178*115</f>
        <v>2837</v>
      </c>
      <c r="N178" s="4" t="s">
        <v>24</v>
      </c>
      <c r="O178" s="6">
        <v>4</v>
      </c>
      <c r="P178" s="6">
        <v>200</v>
      </c>
      <c r="Q178" s="6">
        <v>7</v>
      </c>
      <c r="R178" s="4"/>
      <c r="S178" s="3">
        <v>1290</v>
      </c>
      <c r="T178" s="4" t="s">
        <v>177</v>
      </c>
    </row>
    <row r="179" spans="1:20" ht="14.4">
      <c r="A179" s="3">
        <v>106</v>
      </c>
      <c r="B179" s="4" t="s">
        <v>174</v>
      </c>
      <c r="C179" s="4" t="s">
        <v>374</v>
      </c>
      <c r="D179" s="4" t="s">
        <v>376</v>
      </c>
      <c r="E179" s="6">
        <f t="shared" si="54"/>
        <v>0</v>
      </c>
      <c r="F179" s="6">
        <v>8543</v>
      </c>
      <c r="G179" s="7">
        <v>0</v>
      </c>
      <c r="H179" s="6">
        <v>9144</v>
      </c>
      <c r="I179" s="7">
        <f t="shared" si="9"/>
        <v>601</v>
      </c>
      <c r="J179" s="6">
        <v>0</v>
      </c>
      <c r="K179" s="6" t="s">
        <v>23</v>
      </c>
      <c r="L179" s="8">
        <v>0</v>
      </c>
      <c r="M179" s="8">
        <f t="shared" si="55"/>
        <v>4867</v>
      </c>
      <c r="N179" s="4" t="s">
        <v>24</v>
      </c>
      <c r="O179" s="6">
        <v>4</v>
      </c>
      <c r="P179" s="6">
        <v>200</v>
      </c>
      <c r="Q179" s="6">
        <v>7</v>
      </c>
      <c r="R179" s="4" t="s">
        <v>377</v>
      </c>
      <c r="S179" s="3">
        <v>1290</v>
      </c>
      <c r="T179" s="4" t="s">
        <v>177</v>
      </c>
    </row>
    <row r="180" spans="1:20" ht="14.4">
      <c r="A180" s="3">
        <v>107</v>
      </c>
      <c r="B180" s="4" t="s">
        <v>174</v>
      </c>
      <c r="C180" s="4" t="s">
        <v>374</v>
      </c>
      <c r="D180" s="4" t="s">
        <v>378</v>
      </c>
      <c r="E180" s="6">
        <f t="shared" si="54"/>
        <v>0</v>
      </c>
      <c r="F180" s="6">
        <v>6761</v>
      </c>
      <c r="G180" s="7">
        <v>0</v>
      </c>
      <c r="H180" s="6">
        <v>6768</v>
      </c>
      <c r="I180" s="7">
        <f t="shared" si="9"/>
        <v>7</v>
      </c>
      <c r="J180" s="6">
        <v>0</v>
      </c>
      <c r="K180" s="6">
        <v>0</v>
      </c>
      <c r="L180" s="8">
        <v>0</v>
      </c>
      <c r="M180" s="8">
        <f t="shared" si="55"/>
        <v>709</v>
      </c>
      <c r="N180" s="4" t="s">
        <v>24</v>
      </c>
      <c r="O180" s="6">
        <v>4</v>
      </c>
      <c r="P180" s="6">
        <v>200</v>
      </c>
      <c r="Q180" s="6">
        <v>7</v>
      </c>
      <c r="R180" s="4" t="s">
        <v>379</v>
      </c>
      <c r="S180" s="3">
        <v>1290</v>
      </c>
      <c r="T180" s="4" t="s">
        <v>177</v>
      </c>
    </row>
    <row r="181" spans="1:20" ht="14.4">
      <c r="A181" s="3">
        <v>108</v>
      </c>
      <c r="B181" s="4" t="s">
        <v>174</v>
      </c>
      <c r="C181" s="4" t="s">
        <v>374</v>
      </c>
      <c r="D181" s="4" t="s">
        <v>380</v>
      </c>
      <c r="E181" s="6">
        <f t="shared" si="54"/>
        <v>0</v>
      </c>
      <c r="F181" s="6">
        <v>1826</v>
      </c>
      <c r="G181" s="7">
        <v>0</v>
      </c>
      <c r="H181" s="6">
        <v>2677</v>
      </c>
      <c r="I181" s="7">
        <f t="shared" si="9"/>
        <v>851</v>
      </c>
      <c r="J181" s="6">
        <v>0</v>
      </c>
      <c r="K181" s="6" t="s">
        <v>23</v>
      </c>
      <c r="L181" s="8">
        <v>0</v>
      </c>
      <c r="M181" s="8">
        <f t="shared" si="55"/>
        <v>6617</v>
      </c>
      <c r="N181" s="4" t="s">
        <v>24</v>
      </c>
      <c r="O181" s="6">
        <v>4</v>
      </c>
      <c r="P181" s="6">
        <v>200</v>
      </c>
      <c r="Q181" s="6">
        <v>7</v>
      </c>
      <c r="R181" s="4" t="s">
        <v>381</v>
      </c>
      <c r="S181" s="3">
        <v>1290</v>
      </c>
      <c r="T181" s="4" t="s">
        <v>177</v>
      </c>
    </row>
    <row r="182" spans="1:20" ht="14.4">
      <c r="A182" s="3">
        <v>109</v>
      </c>
      <c r="B182" s="4" t="s">
        <v>174</v>
      </c>
      <c r="C182" s="4" t="s">
        <v>374</v>
      </c>
      <c r="D182" s="4" t="s">
        <v>382</v>
      </c>
      <c r="E182" s="6">
        <f t="shared" si="54"/>
        <v>0</v>
      </c>
      <c r="F182" s="6">
        <v>7845</v>
      </c>
      <c r="G182" s="7">
        <v>0</v>
      </c>
      <c r="H182" s="6">
        <v>8481</v>
      </c>
      <c r="I182" s="7">
        <f t="shared" si="9"/>
        <v>636</v>
      </c>
      <c r="J182" s="6">
        <v>0</v>
      </c>
      <c r="K182" s="6" t="s">
        <v>23</v>
      </c>
      <c r="L182" s="8">
        <v>0</v>
      </c>
      <c r="M182" s="8">
        <f t="shared" si="55"/>
        <v>5112</v>
      </c>
      <c r="N182" s="4" t="s">
        <v>24</v>
      </c>
      <c r="O182" s="6">
        <v>4</v>
      </c>
      <c r="P182" s="6">
        <v>200</v>
      </c>
      <c r="Q182" s="6">
        <v>7</v>
      </c>
      <c r="R182" s="4" t="s">
        <v>383</v>
      </c>
      <c r="S182" s="3">
        <v>995</v>
      </c>
      <c r="T182" s="4" t="s">
        <v>186</v>
      </c>
    </row>
    <row r="183" spans="1:20" ht="14.4">
      <c r="A183" s="3">
        <v>110</v>
      </c>
      <c r="B183" s="4" t="s">
        <v>174</v>
      </c>
      <c r="C183" s="4" t="s">
        <v>374</v>
      </c>
      <c r="D183" s="4" t="s">
        <v>384</v>
      </c>
      <c r="E183" s="6">
        <f t="shared" si="54"/>
        <v>0</v>
      </c>
      <c r="F183" s="6">
        <v>0</v>
      </c>
      <c r="G183" s="7">
        <v>0</v>
      </c>
      <c r="H183" s="6">
        <v>0</v>
      </c>
      <c r="I183" s="7">
        <f t="shared" si="9"/>
        <v>0</v>
      </c>
      <c r="J183" s="6">
        <v>0</v>
      </c>
      <c r="K183" s="6">
        <v>0</v>
      </c>
      <c r="L183" s="8">
        <v>0</v>
      </c>
      <c r="M183" s="8">
        <v>0</v>
      </c>
      <c r="N183" s="4" t="s">
        <v>24</v>
      </c>
      <c r="O183" s="6">
        <v>4</v>
      </c>
      <c r="P183" s="6">
        <v>200</v>
      </c>
      <c r="Q183" s="6">
        <v>7</v>
      </c>
      <c r="R183" s="4" t="s">
        <v>385</v>
      </c>
      <c r="S183" s="3">
        <v>995</v>
      </c>
      <c r="T183" s="4" t="s">
        <v>186</v>
      </c>
    </row>
    <row r="184" spans="1:20" ht="14.4">
      <c r="A184" s="3">
        <v>111</v>
      </c>
      <c r="B184" s="4" t="s">
        <v>174</v>
      </c>
      <c r="C184" s="4" t="s">
        <v>374</v>
      </c>
      <c r="D184" s="4" t="s">
        <v>386</v>
      </c>
      <c r="E184" s="6">
        <f t="shared" si="54"/>
        <v>0</v>
      </c>
      <c r="F184" s="6">
        <v>2277</v>
      </c>
      <c r="G184" s="7">
        <v>0</v>
      </c>
      <c r="H184" s="6">
        <v>2650</v>
      </c>
      <c r="I184" s="7">
        <f t="shared" si="9"/>
        <v>373</v>
      </c>
      <c r="J184" s="6">
        <v>0</v>
      </c>
      <c r="K184" s="6" t="s">
        <v>23</v>
      </c>
      <c r="L184" s="8">
        <v>0</v>
      </c>
      <c r="M184" s="8">
        <f>I184*Q184+P184+O184*115</f>
        <v>3271</v>
      </c>
      <c r="N184" s="4" t="s">
        <v>24</v>
      </c>
      <c r="O184" s="6">
        <v>4</v>
      </c>
      <c r="P184" s="6">
        <v>200</v>
      </c>
      <c r="Q184" s="6">
        <v>7</v>
      </c>
      <c r="R184" s="4" t="s">
        <v>387</v>
      </c>
      <c r="S184" s="3">
        <v>1290</v>
      </c>
      <c r="T184" s="4" t="s">
        <v>177</v>
      </c>
    </row>
    <row r="185" spans="1:20" ht="14.4">
      <c r="A185" s="3">
        <v>112</v>
      </c>
      <c r="B185" s="4" t="s">
        <v>174</v>
      </c>
      <c r="C185" s="4" t="s">
        <v>374</v>
      </c>
      <c r="D185" s="4" t="s">
        <v>388</v>
      </c>
      <c r="E185" s="6">
        <f t="shared" si="54"/>
        <v>0</v>
      </c>
      <c r="F185" s="6">
        <v>0</v>
      </c>
      <c r="G185" s="7">
        <v>0</v>
      </c>
      <c r="H185" s="6">
        <v>0</v>
      </c>
      <c r="I185" s="7">
        <f t="shared" si="9"/>
        <v>0</v>
      </c>
      <c r="J185" s="6">
        <v>0</v>
      </c>
      <c r="K185" s="6">
        <v>0</v>
      </c>
      <c r="L185" s="8">
        <v>0</v>
      </c>
      <c r="M185" s="8">
        <v>0</v>
      </c>
      <c r="N185" s="4" t="s">
        <v>24</v>
      </c>
      <c r="O185" s="6">
        <v>4</v>
      </c>
      <c r="P185" s="6">
        <v>200</v>
      </c>
      <c r="Q185" s="6">
        <v>7</v>
      </c>
      <c r="R185" s="4"/>
      <c r="S185" s="3">
        <v>1290</v>
      </c>
      <c r="T185" s="4" t="s">
        <v>177</v>
      </c>
    </row>
    <row r="186" spans="1:20" ht="14.4">
      <c r="A186" s="3">
        <v>113</v>
      </c>
      <c r="B186" s="4" t="s">
        <v>174</v>
      </c>
      <c r="C186" s="4" t="s">
        <v>144</v>
      </c>
      <c r="D186" s="4" t="s">
        <v>389</v>
      </c>
      <c r="E186" s="6">
        <f t="shared" si="54"/>
        <v>0</v>
      </c>
      <c r="F186" s="6">
        <v>6709</v>
      </c>
      <c r="G186" s="7">
        <v>0</v>
      </c>
      <c r="H186" s="6">
        <v>7118</v>
      </c>
      <c r="I186" s="7">
        <f t="shared" si="9"/>
        <v>409</v>
      </c>
      <c r="J186" s="6">
        <v>0</v>
      </c>
      <c r="K186" s="6" t="s">
        <v>23</v>
      </c>
      <c r="L186" s="8">
        <v>0</v>
      </c>
      <c r="M186" s="8">
        <f t="shared" ref="M186:M192" si="56">I186*Q186+P186+O186*115</f>
        <v>3523</v>
      </c>
      <c r="N186" s="4" t="s">
        <v>24</v>
      </c>
      <c r="O186" s="6">
        <v>4</v>
      </c>
      <c r="P186" s="6">
        <v>200</v>
      </c>
      <c r="Q186" s="6">
        <v>7</v>
      </c>
      <c r="R186" s="4" t="s">
        <v>390</v>
      </c>
      <c r="S186" s="3">
        <v>1290</v>
      </c>
      <c r="T186" s="4" t="s">
        <v>177</v>
      </c>
    </row>
    <row r="187" spans="1:20" ht="14.4">
      <c r="A187" s="3">
        <v>114</v>
      </c>
      <c r="B187" s="4" t="s">
        <v>174</v>
      </c>
      <c r="C187" s="4" t="s">
        <v>144</v>
      </c>
      <c r="D187" s="4" t="s">
        <v>391</v>
      </c>
      <c r="E187" s="6">
        <f t="shared" si="54"/>
        <v>0</v>
      </c>
      <c r="F187" s="6">
        <v>4389</v>
      </c>
      <c r="G187" s="7">
        <v>0</v>
      </c>
      <c r="H187" s="6">
        <v>5331</v>
      </c>
      <c r="I187" s="7">
        <f t="shared" si="9"/>
        <v>942</v>
      </c>
      <c r="J187" s="6">
        <v>0</v>
      </c>
      <c r="K187" s="6" t="s">
        <v>23</v>
      </c>
      <c r="L187" s="8">
        <v>0</v>
      </c>
      <c r="M187" s="8">
        <f t="shared" si="56"/>
        <v>7254</v>
      </c>
      <c r="N187" s="4" t="s">
        <v>24</v>
      </c>
      <c r="O187" s="6">
        <v>4</v>
      </c>
      <c r="P187" s="6">
        <v>200</v>
      </c>
      <c r="Q187" s="6">
        <v>7</v>
      </c>
      <c r="R187" s="4" t="s">
        <v>392</v>
      </c>
      <c r="S187" s="3">
        <v>1290</v>
      </c>
      <c r="T187" s="4" t="s">
        <v>177</v>
      </c>
    </row>
    <row r="188" spans="1:20" ht="14.4">
      <c r="A188" s="3">
        <v>115</v>
      </c>
      <c r="B188" s="4" t="s">
        <v>174</v>
      </c>
      <c r="C188" s="4" t="s">
        <v>144</v>
      </c>
      <c r="D188" s="4" t="s">
        <v>393</v>
      </c>
      <c r="E188" s="6">
        <f t="shared" si="54"/>
        <v>0</v>
      </c>
      <c r="F188" s="6">
        <v>4806</v>
      </c>
      <c r="G188" s="7">
        <v>0</v>
      </c>
      <c r="H188" s="6">
        <v>5002</v>
      </c>
      <c r="I188" s="7">
        <f t="shared" si="9"/>
        <v>196</v>
      </c>
      <c r="J188" s="6">
        <v>0</v>
      </c>
      <c r="K188" s="6" t="s">
        <v>23</v>
      </c>
      <c r="L188" s="8">
        <v>0</v>
      </c>
      <c r="M188" s="8">
        <f t="shared" si="56"/>
        <v>2032</v>
      </c>
      <c r="N188" s="4" t="s">
        <v>24</v>
      </c>
      <c r="O188" s="6">
        <v>4</v>
      </c>
      <c r="P188" s="6">
        <v>200</v>
      </c>
      <c r="Q188" s="6">
        <v>7</v>
      </c>
      <c r="R188" s="4" t="s">
        <v>394</v>
      </c>
      <c r="S188" s="3">
        <v>1290</v>
      </c>
      <c r="T188" s="4" t="s">
        <v>177</v>
      </c>
    </row>
    <row r="189" spans="1:20" ht="14.4">
      <c r="A189" s="3">
        <v>116</v>
      </c>
      <c r="B189" s="4" t="s">
        <v>174</v>
      </c>
      <c r="C189" s="4" t="s">
        <v>144</v>
      </c>
      <c r="D189" s="4" t="s">
        <v>395</v>
      </c>
      <c r="E189" s="6">
        <f t="shared" si="54"/>
        <v>0</v>
      </c>
      <c r="F189" s="6">
        <v>4463</v>
      </c>
      <c r="G189" s="7">
        <v>0</v>
      </c>
      <c r="H189" s="6">
        <v>4753</v>
      </c>
      <c r="I189" s="7">
        <f t="shared" si="9"/>
        <v>290</v>
      </c>
      <c r="J189" s="6">
        <v>0</v>
      </c>
      <c r="K189" s="6">
        <v>0</v>
      </c>
      <c r="L189" s="8">
        <v>0</v>
      </c>
      <c r="M189" s="8">
        <f t="shared" si="56"/>
        <v>2690</v>
      </c>
      <c r="N189" s="4" t="s">
        <v>24</v>
      </c>
      <c r="O189" s="6">
        <v>4</v>
      </c>
      <c r="P189" s="6">
        <v>200</v>
      </c>
      <c r="Q189" s="6">
        <v>7</v>
      </c>
      <c r="R189" s="4" t="s">
        <v>396</v>
      </c>
      <c r="S189" s="3">
        <v>1290</v>
      </c>
      <c r="T189" s="4" t="s">
        <v>177</v>
      </c>
    </row>
    <row r="190" spans="1:20" ht="14.4">
      <c r="A190" s="3">
        <v>117</v>
      </c>
      <c r="B190" s="4" t="s">
        <v>174</v>
      </c>
      <c r="C190" s="4" t="s">
        <v>144</v>
      </c>
      <c r="D190" s="4" t="s">
        <v>397</v>
      </c>
      <c r="E190" s="6">
        <f t="shared" si="54"/>
        <v>0</v>
      </c>
      <c r="F190" s="6">
        <v>15456</v>
      </c>
      <c r="G190" s="7">
        <v>0</v>
      </c>
      <c r="H190" s="6">
        <v>15456</v>
      </c>
      <c r="I190" s="7">
        <f t="shared" si="9"/>
        <v>0</v>
      </c>
      <c r="J190" s="6">
        <v>0</v>
      </c>
      <c r="K190" s="6" t="s">
        <v>23</v>
      </c>
      <c r="L190" s="8">
        <v>0</v>
      </c>
      <c r="M190" s="8">
        <f t="shared" si="56"/>
        <v>660</v>
      </c>
      <c r="N190" s="4" t="s">
        <v>24</v>
      </c>
      <c r="O190" s="6">
        <v>4</v>
      </c>
      <c r="P190" s="6">
        <v>200</v>
      </c>
      <c r="Q190" s="6">
        <v>7</v>
      </c>
      <c r="R190" s="4" t="s">
        <v>398</v>
      </c>
      <c r="S190" s="3">
        <v>995</v>
      </c>
      <c r="T190" s="4" t="s">
        <v>186</v>
      </c>
    </row>
    <row r="191" spans="1:20" ht="14.4">
      <c r="A191" s="3">
        <v>118</v>
      </c>
      <c r="B191" s="4" t="s">
        <v>174</v>
      </c>
      <c r="C191" s="4" t="s">
        <v>144</v>
      </c>
      <c r="D191" s="4" t="s">
        <v>399</v>
      </c>
      <c r="E191" s="6">
        <f t="shared" si="54"/>
        <v>0</v>
      </c>
      <c r="F191" s="6">
        <v>12154</v>
      </c>
      <c r="G191" s="7">
        <v>0</v>
      </c>
      <c r="H191" s="6">
        <v>12162</v>
      </c>
      <c r="I191" s="7">
        <f t="shared" si="9"/>
        <v>8</v>
      </c>
      <c r="J191" s="6">
        <v>0</v>
      </c>
      <c r="K191" s="6" t="s">
        <v>23</v>
      </c>
      <c r="L191" s="8">
        <v>0</v>
      </c>
      <c r="M191" s="8">
        <f t="shared" si="56"/>
        <v>716</v>
      </c>
      <c r="N191" s="4" t="s">
        <v>24</v>
      </c>
      <c r="O191" s="6">
        <v>4</v>
      </c>
      <c r="P191" s="6">
        <v>200</v>
      </c>
      <c r="Q191" s="6">
        <v>7</v>
      </c>
      <c r="R191" s="4" t="s">
        <v>398</v>
      </c>
      <c r="S191" s="3">
        <v>995</v>
      </c>
      <c r="T191" s="4" t="s">
        <v>186</v>
      </c>
    </row>
    <row r="192" spans="1:20" ht="14.4">
      <c r="A192" s="3">
        <v>119</v>
      </c>
      <c r="B192" s="4" t="s">
        <v>174</v>
      </c>
      <c r="C192" s="4" t="s">
        <v>144</v>
      </c>
      <c r="D192" s="4" t="s">
        <v>400</v>
      </c>
      <c r="E192" s="6">
        <f t="shared" si="54"/>
        <v>0</v>
      </c>
      <c r="F192" s="6">
        <v>9983</v>
      </c>
      <c r="G192" s="7">
        <v>0</v>
      </c>
      <c r="H192" s="6">
        <v>10514</v>
      </c>
      <c r="I192" s="7">
        <f t="shared" si="9"/>
        <v>531</v>
      </c>
      <c r="J192" s="6">
        <v>0</v>
      </c>
      <c r="K192" s="6" t="s">
        <v>23</v>
      </c>
      <c r="L192" s="8">
        <v>0</v>
      </c>
      <c r="M192" s="8">
        <f t="shared" si="56"/>
        <v>4377</v>
      </c>
      <c r="N192" s="4" t="s">
        <v>24</v>
      </c>
      <c r="O192" s="6">
        <v>4</v>
      </c>
      <c r="P192" s="6">
        <v>200</v>
      </c>
      <c r="Q192" s="6">
        <v>7</v>
      </c>
      <c r="R192" s="4" t="s">
        <v>401</v>
      </c>
      <c r="S192" s="3">
        <v>1290</v>
      </c>
      <c r="T192" s="4" t="s">
        <v>177</v>
      </c>
    </row>
    <row r="193" spans="1:20" ht="14.4">
      <c r="A193" s="3">
        <v>120</v>
      </c>
      <c r="B193" s="4" t="s">
        <v>174</v>
      </c>
      <c r="C193" s="4" t="s">
        <v>144</v>
      </c>
      <c r="D193" s="4" t="s">
        <v>402</v>
      </c>
      <c r="E193" s="6">
        <f t="shared" si="54"/>
        <v>0</v>
      </c>
      <c r="F193" s="6">
        <v>0</v>
      </c>
      <c r="G193" s="7">
        <v>0</v>
      </c>
      <c r="H193" s="6">
        <v>0</v>
      </c>
      <c r="I193" s="7">
        <f t="shared" si="9"/>
        <v>0</v>
      </c>
      <c r="J193" s="6">
        <v>0</v>
      </c>
      <c r="K193" s="6">
        <v>0</v>
      </c>
      <c r="L193" s="8">
        <v>0</v>
      </c>
      <c r="M193" s="8">
        <v>0</v>
      </c>
      <c r="N193" s="4" t="s">
        <v>24</v>
      </c>
      <c r="O193" s="6">
        <v>4</v>
      </c>
      <c r="P193" s="6">
        <v>200</v>
      </c>
      <c r="Q193" s="6">
        <v>7</v>
      </c>
      <c r="R193" s="4"/>
      <c r="S193" s="3">
        <v>1290</v>
      </c>
      <c r="T193" s="4" t="s">
        <v>177</v>
      </c>
    </row>
    <row r="194" spans="1:20" ht="14.4">
      <c r="A194" s="3">
        <v>121</v>
      </c>
      <c r="B194" s="4" t="s">
        <v>174</v>
      </c>
      <c r="C194" s="4" t="s">
        <v>152</v>
      </c>
      <c r="D194" s="4" t="s">
        <v>403</v>
      </c>
      <c r="E194" s="6">
        <f t="shared" si="54"/>
        <v>0</v>
      </c>
      <c r="F194" s="6">
        <v>15652</v>
      </c>
      <c r="G194" s="7">
        <v>0</v>
      </c>
      <c r="H194" s="6">
        <v>15894</v>
      </c>
      <c r="I194" s="7">
        <f t="shared" si="9"/>
        <v>242</v>
      </c>
      <c r="J194" s="6">
        <v>0</v>
      </c>
      <c r="K194" s="6" t="s">
        <v>23</v>
      </c>
      <c r="L194" s="8">
        <v>0</v>
      </c>
      <c r="M194" s="8">
        <f t="shared" ref="M194:M195" si="57">I194*Q194+P194+O194*115</f>
        <v>2354</v>
      </c>
      <c r="N194" s="4" t="s">
        <v>24</v>
      </c>
      <c r="O194" s="6">
        <v>4</v>
      </c>
      <c r="P194" s="6">
        <v>200</v>
      </c>
      <c r="Q194" s="6">
        <v>7</v>
      </c>
      <c r="R194" s="4" t="s">
        <v>404</v>
      </c>
      <c r="S194" s="3">
        <v>1290</v>
      </c>
      <c r="T194" s="4" t="s">
        <v>177</v>
      </c>
    </row>
    <row r="195" spans="1:20" ht="14.4">
      <c r="A195" s="3">
        <v>122</v>
      </c>
      <c r="B195" s="4" t="s">
        <v>174</v>
      </c>
      <c r="C195" s="4" t="s">
        <v>152</v>
      </c>
      <c r="D195" s="4" t="s">
        <v>405</v>
      </c>
      <c r="E195" s="6">
        <f t="shared" si="54"/>
        <v>0</v>
      </c>
      <c r="F195" s="6">
        <v>6601</v>
      </c>
      <c r="G195" s="7">
        <v>0</v>
      </c>
      <c r="H195" s="6">
        <v>7585</v>
      </c>
      <c r="I195" s="7">
        <f t="shared" si="9"/>
        <v>984</v>
      </c>
      <c r="J195" s="6">
        <v>0</v>
      </c>
      <c r="K195" s="6">
        <v>0</v>
      </c>
      <c r="L195" s="8">
        <v>0</v>
      </c>
      <c r="M195" s="8">
        <f t="shared" si="57"/>
        <v>7548</v>
      </c>
      <c r="N195" s="4" t="s">
        <v>24</v>
      </c>
      <c r="O195" s="6">
        <v>4</v>
      </c>
      <c r="P195" s="6">
        <v>200</v>
      </c>
      <c r="Q195" s="6">
        <v>7</v>
      </c>
      <c r="R195" s="4" t="s">
        <v>406</v>
      </c>
      <c r="S195" s="3">
        <v>1290</v>
      </c>
      <c r="T195" s="4" t="s">
        <v>177</v>
      </c>
    </row>
    <row r="196" spans="1:20" ht="14.4">
      <c r="A196" s="3">
        <v>123</v>
      </c>
      <c r="B196" s="4" t="s">
        <v>174</v>
      </c>
      <c r="C196" s="4" t="s">
        <v>152</v>
      </c>
      <c r="D196" s="4" t="s">
        <v>407</v>
      </c>
      <c r="E196" s="6">
        <f t="shared" si="54"/>
        <v>0</v>
      </c>
      <c r="F196" s="6">
        <v>115</v>
      </c>
      <c r="G196" s="7">
        <v>0</v>
      </c>
      <c r="H196" s="6">
        <v>115</v>
      </c>
      <c r="I196" s="7">
        <f t="shared" si="9"/>
        <v>0</v>
      </c>
      <c r="J196" s="6">
        <v>0</v>
      </c>
      <c r="K196" s="6">
        <v>0</v>
      </c>
      <c r="L196" s="8">
        <v>0</v>
      </c>
      <c r="M196" s="8">
        <v>0</v>
      </c>
      <c r="N196" s="4" t="s">
        <v>24</v>
      </c>
      <c r="O196" s="6">
        <v>4</v>
      </c>
      <c r="P196" s="6">
        <v>200</v>
      </c>
      <c r="Q196" s="6">
        <v>7</v>
      </c>
      <c r="R196" s="4" t="s">
        <v>408</v>
      </c>
      <c r="S196" s="3">
        <v>1290</v>
      </c>
      <c r="T196" s="4" t="s">
        <v>177</v>
      </c>
    </row>
    <row r="197" spans="1:20" ht="14.4">
      <c r="A197" s="3">
        <v>124</v>
      </c>
      <c r="B197" s="4" t="s">
        <v>174</v>
      </c>
      <c r="C197" s="4" t="s">
        <v>152</v>
      </c>
      <c r="D197" s="4" t="s">
        <v>409</v>
      </c>
      <c r="E197" s="6">
        <f t="shared" si="54"/>
        <v>0</v>
      </c>
      <c r="F197" s="6">
        <v>8631</v>
      </c>
      <c r="G197" s="7">
        <v>0</v>
      </c>
      <c r="H197" s="6">
        <v>8887</v>
      </c>
      <c r="I197" s="7">
        <f t="shared" si="9"/>
        <v>256</v>
      </c>
      <c r="J197" s="6">
        <v>0</v>
      </c>
      <c r="K197" s="6" t="s">
        <v>23</v>
      </c>
      <c r="L197" s="8">
        <v>0</v>
      </c>
      <c r="M197" s="8">
        <f t="shared" ref="M197:M199" si="58">I197*Q197+P197+O197*115</f>
        <v>2452</v>
      </c>
      <c r="N197" s="4" t="s">
        <v>24</v>
      </c>
      <c r="O197" s="6">
        <v>4</v>
      </c>
      <c r="P197" s="6">
        <v>200</v>
      </c>
      <c r="Q197" s="6">
        <v>7</v>
      </c>
      <c r="R197" s="4" t="s">
        <v>410</v>
      </c>
      <c r="S197" s="3">
        <v>1290</v>
      </c>
      <c r="T197" s="4" t="s">
        <v>177</v>
      </c>
    </row>
    <row r="198" spans="1:20" ht="14.4">
      <c r="A198" s="3">
        <v>125</v>
      </c>
      <c r="B198" s="4" t="s">
        <v>174</v>
      </c>
      <c r="C198" s="4" t="s">
        <v>152</v>
      </c>
      <c r="D198" s="4" t="s">
        <v>411</v>
      </c>
      <c r="E198" s="6">
        <f t="shared" si="54"/>
        <v>0</v>
      </c>
      <c r="F198" s="6">
        <v>19060</v>
      </c>
      <c r="G198" s="7">
        <v>0</v>
      </c>
      <c r="H198" s="6">
        <v>19348</v>
      </c>
      <c r="I198" s="7">
        <f t="shared" si="9"/>
        <v>288</v>
      </c>
      <c r="J198" s="6">
        <v>0</v>
      </c>
      <c r="K198" s="6" t="s">
        <v>23</v>
      </c>
      <c r="L198" s="8">
        <v>0</v>
      </c>
      <c r="M198" s="8">
        <f t="shared" si="58"/>
        <v>2676</v>
      </c>
      <c r="N198" s="4" t="s">
        <v>24</v>
      </c>
      <c r="O198" s="6">
        <v>4</v>
      </c>
      <c r="P198" s="6">
        <v>200</v>
      </c>
      <c r="Q198" s="6">
        <v>7</v>
      </c>
      <c r="R198" s="4" t="s">
        <v>412</v>
      </c>
      <c r="S198" s="3">
        <v>995</v>
      </c>
      <c r="T198" s="4" t="s">
        <v>186</v>
      </c>
    </row>
    <row r="199" spans="1:20" ht="14.4">
      <c r="A199" s="3">
        <v>126</v>
      </c>
      <c r="B199" s="4" t="s">
        <v>174</v>
      </c>
      <c r="C199" s="4" t="s">
        <v>152</v>
      </c>
      <c r="D199" s="4" t="s">
        <v>413</v>
      </c>
      <c r="E199" s="6">
        <f t="shared" si="54"/>
        <v>0</v>
      </c>
      <c r="F199" s="6">
        <v>19857</v>
      </c>
      <c r="G199" s="7">
        <v>0</v>
      </c>
      <c r="H199" s="6">
        <v>20540</v>
      </c>
      <c r="I199" s="7">
        <f t="shared" si="9"/>
        <v>683</v>
      </c>
      <c r="J199" s="6">
        <v>0</v>
      </c>
      <c r="K199" s="6" t="s">
        <v>23</v>
      </c>
      <c r="L199" s="8">
        <v>0</v>
      </c>
      <c r="M199" s="8">
        <f t="shared" si="58"/>
        <v>5441</v>
      </c>
      <c r="N199" s="4" t="s">
        <v>24</v>
      </c>
      <c r="O199" s="6">
        <v>4</v>
      </c>
      <c r="P199" s="6">
        <v>200</v>
      </c>
      <c r="Q199" s="6">
        <v>7</v>
      </c>
      <c r="R199" s="4" t="s">
        <v>414</v>
      </c>
      <c r="S199" s="3">
        <v>995</v>
      </c>
      <c r="T199" s="4" t="s">
        <v>186</v>
      </c>
    </row>
    <row r="200" spans="1:20" ht="14.4">
      <c r="A200" s="3">
        <v>127</v>
      </c>
      <c r="B200" s="4" t="s">
        <v>174</v>
      </c>
      <c r="C200" s="4" t="s">
        <v>152</v>
      </c>
      <c r="D200" s="4" t="s">
        <v>415</v>
      </c>
      <c r="E200" s="6">
        <f t="shared" si="54"/>
        <v>0</v>
      </c>
      <c r="F200" s="6">
        <v>0</v>
      </c>
      <c r="G200" s="7">
        <v>0</v>
      </c>
      <c r="H200" s="6">
        <v>0</v>
      </c>
      <c r="I200" s="7">
        <f t="shared" si="9"/>
        <v>0</v>
      </c>
      <c r="J200" s="6">
        <v>0</v>
      </c>
      <c r="K200" s="6">
        <v>0</v>
      </c>
      <c r="L200" s="8">
        <v>0</v>
      </c>
      <c r="M200" s="8">
        <v>0</v>
      </c>
      <c r="N200" s="4" t="s">
        <v>24</v>
      </c>
      <c r="O200" s="6">
        <v>4</v>
      </c>
      <c r="P200" s="6">
        <v>200</v>
      </c>
      <c r="Q200" s="6">
        <v>7</v>
      </c>
      <c r="R200" s="4"/>
      <c r="S200" s="3">
        <v>1290</v>
      </c>
      <c r="T200" s="4" t="s">
        <v>177</v>
      </c>
    </row>
    <row r="201" spans="1:20" ht="14.4">
      <c r="A201" s="3">
        <v>128</v>
      </c>
      <c r="B201" s="4" t="s">
        <v>174</v>
      </c>
      <c r="C201" s="4" t="s">
        <v>152</v>
      </c>
      <c r="D201" s="4" t="s">
        <v>416</v>
      </c>
      <c r="E201" s="6">
        <f t="shared" si="54"/>
        <v>0</v>
      </c>
      <c r="F201" s="6">
        <v>0</v>
      </c>
      <c r="G201" s="7">
        <v>0</v>
      </c>
      <c r="H201" s="6">
        <v>0</v>
      </c>
      <c r="I201" s="7">
        <f t="shared" si="9"/>
        <v>0</v>
      </c>
      <c r="J201" s="6">
        <v>0</v>
      </c>
      <c r="K201" s="6">
        <v>0</v>
      </c>
      <c r="L201" s="8">
        <v>0</v>
      </c>
      <c r="M201" s="8">
        <v>0</v>
      </c>
      <c r="N201" s="4" t="s">
        <v>24</v>
      </c>
      <c r="O201" s="6">
        <v>4</v>
      </c>
      <c r="P201" s="6">
        <v>200</v>
      </c>
      <c r="Q201" s="6">
        <v>7</v>
      </c>
      <c r="R201" s="4"/>
      <c r="S201" s="3">
        <v>1290</v>
      </c>
      <c r="T201" s="4" t="s">
        <v>177</v>
      </c>
    </row>
    <row r="202" spans="1:20" ht="14.4">
      <c r="A202" s="3">
        <v>129</v>
      </c>
      <c r="B202" s="4" t="s">
        <v>174</v>
      </c>
      <c r="C202" s="4" t="s">
        <v>160</v>
      </c>
      <c r="D202" s="4" t="s">
        <v>417</v>
      </c>
      <c r="E202" s="6">
        <f t="shared" si="54"/>
        <v>0</v>
      </c>
      <c r="F202" s="6">
        <v>1299</v>
      </c>
      <c r="G202" s="7">
        <v>0</v>
      </c>
      <c r="H202" s="6">
        <v>1394</v>
      </c>
      <c r="I202" s="7">
        <f t="shared" si="9"/>
        <v>95</v>
      </c>
      <c r="J202" s="6">
        <v>0</v>
      </c>
      <c r="K202" s="6" t="s">
        <v>23</v>
      </c>
      <c r="L202" s="8">
        <v>0</v>
      </c>
      <c r="M202" s="8">
        <f t="shared" ref="M202:M207" si="59">I202*Q202+P202+O202*115</f>
        <v>1325</v>
      </c>
      <c r="N202" s="4" t="s">
        <v>24</v>
      </c>
      <c r="O202" s="6">
        <v>4</v>
      </c>
      <c r="P202" s="6">
        <v>200</v>
      </c>
      <c r="Q202" s="6">
        <v>7</v>
      </c>
      <c r="R202" s="4" t="s">
        <v>418</v>
      </c>
      <c r="S202" s="3">
        <v>1290</v>
      </c>
      <c r="T202" s="4" t="s">
        <v>177</v>
      </c>
    </row>
    <row r="203" spans="1:20" ht="14.4">
      <c r="A203" s="3">
        <v>130</v>
      </c>
      <c r="B203" s="4" t="s">
        <v>174</v>
      </c>
      <c r="C203" s="4" t="s">
        <v>160</v>
      </c>
      <c r="D203" s="4" t="s">
        <v>419</v>
      </c>
      <c r="E203" s="6">
        <f t="shared" si="54"/>
        <v>0</v>
      </c>
      <c r="F203" s="6">
        <v>930</v>
      </c>
      <c r="G203" s="7">
        <v>0</v>
      </c>
      <c r="H203" s="6">
        <v>1433</v>
      </c>
      <c r="I203" s="7">
        <f t="shared" si="9"/>
        <v>503</v>
      </c>
      <c r="J203" s="6">
        <v>0</v>
      </c>
      <c r="K203" s="6" t="s">
        <v>23</v>
      </c>
      <c r="L203" s="8">
        <v>0</v>
      </c>
      <c r="M203" s="8">
        <f t="shared" si="59"/>
        <v>4181</v>
      </c>
      <c r="N203" s="4" t="s">
        <v>24</v>
      </c>
      <c r="O203" s="6">
        <v>4</v>
      </c>
      <c r="P203" s="6">
        <v>200</v>
      </c>
      <c r="Q203" s="6">
        <v>7</v>
      </c>
      <c r="R203" s="4" t="s">
        <v>420</v>
      </c>
      <c r="S203" s="3">
        <v>1290</v>
      </c>
      <c r="T203" s="4" t="s">
        <v>177</v>
      </c>
    </row>
    <row r="204" spans="1:20" ht="14.4">
      <c r="A204" s="3">
        <v>131</v>
      </c>
      <c r="B204" s="4" t="s">
        <v>174</v>
      </c>
      <c r="C204" s="4" t="s">
        <v>160</v>
      </c>
      <c r="D204" s="4" t="s">
        <v>421</v>
      </c>
      <c r="E204" s="6">
        <f t="shared" si="54"/>
        <v>0</v>
      </c>
      <c r="F204" s="6">
        <v>0</v>
      </c>
      <c r="G204" s="7">
        <v>0</v>
      </c>
      <c r="H204" s="6">
        <v>296</v>
      </c>
      <c r="I204" s="7">
        <f t="shared" si="9"/>
        <v>296</v>
      </c>
      <c r="J204" s="6">
        <v>0</v>
      </c>
      <c r="K204" s="6">
        <v>0</v>
      </c>
      <c r="L204" s="8">
        <v>0</v>
      </c>
      <c r="M204" s="8">
        <f t="shared" si="59"/>
        <v>2732</v>
      </c>
      <c r="N204" s="4" t="s">
        <v>24</v>
      </c>
      <c r="O204" s="6">
        <v>4</v>
      </c>
      <c r="P204" s="6">
        <v>200</v>
      </c>
      <c r="Q204" s="6">
        <v>7</v>
      </c>
      <c r="R204" s="4" t="s">
        <v>422</v>
      </c>
      <c r="S204" s="3">
        <v>1290</v>
      </c>
      <c r="T204" s="4" t="s">
        <v>177</v>
      </c>
    </row>
    <row r="205" spans="1:20" ht="14.4">
      <c r="A205" s="3">
        <v>132</v>
      </c>
      <c r="B205" s="4" t="s">
        <v>174</v>
      </c>
      <c r="C205" s="4" t="s">
        <v>160</v>
      </c>
      <c r="D205" s="4" t="s">
        <v>423</v>
      </c>
      <c r="E205" s="6">
        <f t="shared" si="54"/>
        <v>0</v>
      </c>
      <c r="F205" s="6">
        <v>6167</v>
      </c>
      <c r="G205" s="7">
        <v>0</v>
      </c>
      <c r="H205" s="6">
        <v>6207</v>
      </c>
      <c r="I205" s="7">
        <f t="shared" si="9"/>
        <v>40</v>
      </c>
      <c r="J205" s="6">
        <v>0</v>
      </c>
      <c r="K205" s="6">
        <v>0</v>
      </c>
      <c r="L205" s="8">
        <v>0</v>
      </c>
      <c r="M205" s="8">
        <f t="shared" si="59"/>
        <v>940</v>
      </c>
      <c r="N205" s="4" t="s">
        <v>24</v>
      </c>
      <c r="O205" s="6">
        <v>4</v>
      </c>
      <c r="P205" s="6">
        <v>200</v>
      </c>
      <c r="Q205" s="6">
        <v>7</v>
      </c>
      <c r="R205" s="4" t="s">
        <v>424</v>
      </c>
      <c r="S205" s="3">
        <v>1290</v>
      </c>
      <c r="T205" s="4" t="s">
        <v>177</v>
      </c>
    </row>
    <row r="206" spans="1:20" ht="14.4">
      <c r="A206" s="3">
        <v>133</v>
      </c>
      <c r="B206" s="4" t="s">
        <v>174</v>
      </c>
      <c r="C206" s="4" t="s">
        <v>160</v>
      </c>
      <c r="D206" s="4" t="s">
        <v>425</v>
      </c>
      <c r="E206" s="6">
        <f t="shared" si="54"/>
        <v>0</v>
      </c>
      <c r="F206" s="6">
        <v>1337</v>
      </c>
      <c r="G206" s="7">
        <v>0</v>
      </c>
      <c r="H206" s="6">
        <v>1425</v>
      </c>
      <c r="I206" s="7">
        <f t="shared" si="9"/>
        <v>88</v>
      </c>
      <c r="J206" s="6">
        <v>0</v>
      </c>
      <c r="K206" s="6" t="s">
        <v>23</v>
      </c>
      <c r="L206" s="8">
        <v>0</v>
      </c>
      <c r="M206" s="8">
        <f t="shared" si="59"/>
        <v>1276</v>
      </c>
      <c r="N206" s="4" t="s">
        <v>24</v>
      </c>
      <c r="O206" s="6">
        <v>4</v>
      </c>
      <c r="P206" s="6">
        <v>200</v>
      </c>
      <c r="Q206" s="6">
        <v>7</v>
      </c>
      <c r="R206" s="4" t="s">
        <v>318</v>
      </c>
      <c r="S206" s="3">
        <v>995</v>
      </c>
      <c r="T206" s="4" t="s">
        <v>186</v>
      </c>
    </row>
    <row r="207" spans="1:20" ht="14.4">
      <c r="A207" s="3">
        <v>134</v>
      </c>
      <c r="B207" s="4" t="s">
        <v>174</v>
      </c>
      <c r="C207" s="4" t="s">
        <v>160</v>
      </c>
      <c r="D207" s="4" t="s">
        <v>426</v>
      </c>
      <c r="E207" s="6">
        <f t="shared" si="54"/>
        <v>0</v>
      </c>
      <c r="F207" s="6">
        <v>4353</v>
      </c>
      <c r="G207" s="7">
        <v>0</v>
      </c>
      <c r="H207" s="6">
        <v>4766</v>
      </c>
      <c r="I207" s="7">
        <f t="shared" si="9"/>
        <v>413</v>
      </c>
      <c r="J207" s="6">
        <v>0</v>
      </c>
      <c r="K207" s="6">
        <v>0</v>
      </c>
      <c r="L207" s="8">
        <v>0</v>
      </c>
      <c r="M207" s="8">
        <f t="shared" si="59"/>
        <v>3551</v>
      </c>
      <c r="N207" s="4" t="s">
        <v>24</v>
      </c>
      <c r="O207" s="6">
        <v>4</v>
      </c>
      <c r="P207" s="6">
        <v>200</v>
      </c>
      <c r="Q207" s="6">
        <v>7</v>
      </c>
      <c r="R207" s="4" t="s">
        <v>427</v>
      </c>
      <c r="S207" s="3">
        <v>995</v>
      </c>
      <c r="T207" s="4" t="s">
        <v>186</v>
      </c>
    </row>
    <row r="208" spans="1:20" ht="14.4">
      <c r="A208" s="3">
        <v>135</v>
      </c>
      <c r="B208" s="4" t="s">
        <v>174</v>
      </c>
      <c r="C208" s="4" t="s">
        <v>160</v>
      </c>
      <c r="D208" s="4" t="s">
        <v>428</v>
      </c>
      <c r="E208" s="6">
        <f t="shared" si="54"/>
        <v>0</v>
      </c>
      <c r="F208" s="6">
        <v>0</v>
      </c>
      <c r="G208" s="7">
        <v>0</v>
      </c>
      <c r="H208" s="6">
        <v>0</v>
      </c>
      <c r="I208" s="7">
        <f t="shared" si="9"/>
        <v>0</v>
      </c>
      <c r="J208" s="6">
        <v>0</v>
      </c>
      <c r="K208" s="6">
        <v>0</v>
      </c>
      <c r="L208" s="8">
        <v>0</v>
      </c>
      <c r="M208" s="8">
        <v>0</v>
      </c>
      <c r="N208" s="4" t="s">
        <v>24</v>
      </c>
      <c r="O208" s="6">
        <v>4</v>
      </c>
      <c r="P208" s="6">
        <v>200</v>
      </c>
      <c r="Q208" s="6">
        <v>7</v>
      </c>
      <c r="R208" s="4"/>
      <c r="S208" s="3">
        <v>1290</v>
      </c>
      <c r="T208" s="4" t="s">
        <v>177</v>
      </c>
    </row>
    <row r="209" spans="1:20" ht="14.4">
      <c r="A209" s="3">
        <v>136</v>
      </c>
      <c r="B209" s="4" t="s">
        <v>174</v>
      </c>
      <c r="C209" s="4" t="s">
        <v>160</v>
      </c>
      <c r="D209" s="4" t="s">
        <v>429</v>
      </c>
      <c r="E209" s="6">
        <f t="shared" si="54"/>
        <v>0</v>
      </c>
      <c r="F209" s="6">
        <v>0</v>
      </c>
      <c r="G209" s="7">
        <v>0</v>
      </c>
      <c r="H209" s="6">
        <v>0</v>
      </c>
      <c r="I209" s="7">
        <f t="shared" si="9"/>
        <v>0</v>
      </c>
      <c r="J209" s="6">
        <v>0</v>
      </c>
      <c r="K209" s="6">
        <v>0</v>
      </c>
      <c r="L209" s="8">
        <v>0</v>
      </c>
      <c r="M209" s="8">
        <v>0</v>
      </c>
      <c r="N209" s="4" t="s">
        <v>24</v>
      </c>
      <c r="O209" s="6">
        <v>4</v>
      </c>
      <c r="P209" s="6">
        <v>200</v>
      </c>
      <c r="Q209" s="6">
        <v>7</v>
      </c>
      <c r="R209" s="4"/>
      <c r="S209" s="3">
        <v>1290</v>
      </c>
      <c r="T209" s="4" t="s">
        <v>177</v>
      </c>
    </row>
    <row r="210" spans="1:20" ht="14.4">
      <c r="A210" s="3">
        <v>137</v>
      </c>
      <c r="B210" s="4" t="s">
        <v>174</v>
      </c>
      <c r="C210" s="4" t="s">
        <v>430</v>
      </c>
      <c r="D210" s="4" t="s">
        <v>431</v>
      </c>
      <c r="E210" s="6">
        <f t="shared" si="54"/>
        <v>0</v>
      </c>
      <c r="F210" s="6">
        <v>11445</v>
      </c>
      <c r="G210" s="7">
        <v>0</v>
      </c>
      <c r="H210" s="6">
        <v>12413</v>
      </c>
      <c r="I210" s="7">
        <f t="shared" si="9"/>
        <v>968</v>
      </c>
      <c r="J210" s="6">
        <v>0</v>
      </c>
      <c r="K210" s="6" t="s">
        <v>23</v>
      </c>
      <c r="L210" s="8">
        <v>0</v>
      </c>
      <c r="M210" s="8">
        <f t="shared" ref="M210:M211" si="60">I210*Q210+P210+O210*115</f>
        <v>7436</v>
      </c>
      <c r="N210" s="4" t="s">
        <v>24</v>
      </c>
      <c r="O210" s="6">
        <v>4</v>
      </c>
      <c r="P210" s="6">
        <v>200</v>
      </c>
      <c r="Q210" s="6">
        <v>7</v>
      </c>
      <c r="R210" s="4"/>
      <c r="S210" s="3">
        <v>1290</v>
      </c>
      <c r="T210" s="4" t="s">
        <v>177</v>
      </c>
    </row>
    <row r="211" spans="1:20" ht="14.4">
      <c r="A211" s="3">
        <v>138</v>
      </c>
      <c r="B211" s="4" t="s">
        <v>174</v>
      </c>
      <c r="C211" s="4" t="s">
        <v>430</v>
      </c>
      <c r="D211" s="4" t="s">
        <v>432</v>
      </c>
      <c r="E211" s="6">
        <f t="shared" si="54"/>
        <v>0</v>
      </c>
      <c r="F211" s="6">
        <v>11533</v>
      </c>
      <c r="G211" s="7">
        <v>0</v>
      </c>
      <c r="H211" s="6">
        <v>12430</v>
      </c>
      <c r="I211" s="7">
        <f t="shared" si="9"/>
        <v>897</v>
      </c>
      <c r="J211" s="6">
        <v>0</v>
      </c>
      <c r="K211" s="6" t="s">
        <v>23</v>
      </c>
      <c r="L211" s="8">
        <v>0</v>
      </c>
      <c r="M211" s="8">
        <f t="shared" si="60"/>
        <v>6939</v>
      </c>
      <c r="N211" s="4" t="s">
        <v>24</v>
      </c>
      <c r="O211" s="6">
        <v>4</v>
      </c>
      <c r="P211" s="6">
        <v>200</v>
      </c>
      <c r="Q211" s="6">
        <v>7</v>
      </c>
      <c r="R211" s="4" t="s">
        <v>433</v>
      </c>
      <c r="S211" s="3">
        <v>1290</v>
      </c>
      <c r="T211" s="4" t="s">
        <v>177</v>
      </c>
    </row>
    <row r="212" spans="1:20" ht="14.4">
      <c r="A212" s="3">
        <v>139</v>
      </c>
      <c r="B212" s="4" t="s">
        <v>174</v>
      </c>
      <c r="C212" s="4" t="s">
        <v>430</v>
      </c>
      <c r="D212" s="4" t="s">
        <v>434</v>
      </c>
      <c r="E212" s="6">
        <f t="shared" si="54"/>
        <v>0</v>
      </c>
      <c r="F212" s="6">
        <v>0</v>
      </c>
      <c r="G212" s="7">
        <v>0</v>
      </c>
      <c r="H212" s="6">
        <v>0</v>
      </c>
      <c r="I212" s="7">
        <f t="shared" si="9"/>
        <v>0</v>
      </c>
      <c r="J212" s="6">
        <v>0</v>
      </c>
      <c r="K212" s="6">
        <v>0</v>
      </c>
      <c r="L212" s="8">
        <v>0</v>
      </c>
      <c r="M212" s="8">
        <v>0</v>
      </c>
      <c r="N212" s="4" t="s">
        <v>24</v>
      </c>
      <c r="O212" s="6">
        <v>4</v>
      </c>
      <c r="P212" s="6">
        <v>200</v>
      </c>
      <c r="Q212" s="6">
        <v>7</v>
      </c>
      <c r="R212" s="4"/>
      <c r="S212" s="3">
        <v>1290</v>
      </c>
      <c r="T212" s="4" t="s">
        <v>177</v>
      </c>
    </row>
    <row r="213" spans="1:20" ht="14.4">
      <c r="A213" s="3">
        <v>140</v>
      </c>
      <c r="B213" s="4" t="s">
        <v>174</v>
      </c>
      <c r="C213" s="4" t="s">
        <v>430</v>
      </c>
      <c r="D213" s="4" t="s">
        <v>435</v>
      </c>
      <c r="E213" s="6">
        <f t="shared" si="54"/>
        <v>0</v>
      </c>
      <c r="F213" s="6">
        <v>0</v>
      </c>
      <c r="G213" s="7">
        <v>0</v>
      </c>
      <c r="H213" s="6">
        <v>0</v>
      </c>
      <c r="I213" s="7">
        <f t="shared" si="9"/>
        <v>0</v>
      </c>
      <c r="J213" s="6">
        <v>0</v>
      </c>
      <c r="K213" s="6">
        <v>0</v>
      </c>
      <c r="L213" s="8">
        <v>0</v>
      </c>
      <c r="M213" s="8">
        <v>0</v>
      </c>
      <c r="N213" s="4" t="s">
        <v>24</v>
      </c>
      <c r="O213" s="6">
        <v>4</v>
      </c>
      <c r="P213" s="6">
        <v>200</v>
      </c>
      <c r="Q213" s="6">
        <v>7</v>
      </c>
      <c r="R213" s="4" t="s">
        <v>436</v>
      </c>
      <c r="S213" s="3">
        <v>1290</v>
      </c>
      <c r="T213" s="4" t="s">
        <v>177</v>
      </c>
    </row>
    <row r="214" spans="1:20" ht="14.4">
      <c r="A214" s="3">
        <v>141</v>
      </c>
      <c r="B214" s="4" t="s">
        <v>174</v>
      </c>
      <c r="C214" s="4" t="s">
        <v>430</v>
      </c>
      <c r="D214" s="4" t="s">
        <v>437</v>
      </c>
      <c r="E214" s="6">
        <f t="shared" si="54"/>
        <v>0</v>
      </c>
      <c r="F214" s="6">
        <v>0</v>
      </c>
      <c r="G214" s="7">
        <v>0</v>
      </c>
      <c r="H214" s="6">
        <v>0</v>
      </c>
      <c r="I214" s="7">
        <f t="shared" si="9"/>
        <v>0</v>
      </c>
      <c r="J214" s="6">
        <v>0</v>
      </c>
      <c r="K214" s="6">
        <v>0</v>
      </c>
      <c r="L214" s="8">
        <v>0</v>
      </c>
      <c r="M214" s="8">
        <v>0</v>
      </c>
      <c r="N214" s="4" t="s">
        <v>24</v>
      </c>
      <c r="O214" s="6">
        <v>4</v>
      </c>
      <c r="P214" s="6">
        <v>200</v>
      </c>
      <c r="Q214" s="6">
        <v>7</v>
      </c>
      <c r="R214" s="4"/>
      <c r="S214" s="3">
        <v>995</v>
      </c>
      <c r="T214" s="4" t="s">
        <v>186</v>
      </c>
    </row>
    <row r="215" spans="1:20" ht="14.4">
      <c r="A215" s="3">
        <v>142</v>
      </c>
      <c r="B215" s="4" t="s">
        <v>174</v>
      </c>
      <c r="C215" s="4" t="s">
        <v>430</v>
      </c>
      <c r="D215" s="4" t="s">
        <v>438</v>
      </c>
      <c r="E215" s="6">
        <f t="shared" si="54"/>
        <v>0</v>
      </c>
      <c r="F215" s="6">
        <v>0</v>
      </c>
      <c r="G215" s="7">
        <v>0</v>
      </c>
      <c r="H215" s="6">
        <v>0</v>
      </c>
      <c r="I215" s="7">
        <f t="shared" si="9"/>
        <v>0</v>
      </c>
      <c r="J215" s="6">
        <v>0</v>
      </c>
      <c r="K215" s="6">
        <v>0</v>
      </c>
      <c r="L215" s="8">
        <v>0</v>
      </c>
      <c r="M215" s="8">
        <v>0</v>
      </c>
      <c r="N215" s="4" t="s">
        <v>24</v>
      </c>
      <c r="O215" s="6">
        <v>4</v>
      </c>
      <c r="P215" s="6">
        <v>200</v>
      </c>
      <c r="Q215" s="6">
        <v>7</v>
      </c>
      <c r="R215" s="4"/>
      <c r="S215" s="3">
        <v>995</v>
      </c>
      <c r="T215" s="4" t="s">
        <v>186</v>
      </c>
    </row>
    <row r="216" spans="1:20" ht="14.4">
      <c r="A216" s="3">
        <v>143</v>
      </c>
      <c r="B216" s="4" t="s">
        <v>174</v>
      </c>
      <c r="C216" s="4" t="s">
        <v>430</v>
      </c>
      <c r="D216" s="4" t="s">
        <v>439</v>
      </c>
      <c r="E216" s="6">
        <f t="shared" si="54"/>
        <v>0</v>
      </c>
      <c r="F216" s="6">
        <v>0</v>
      </c>
      <c r="G216" s="7">
        <v>0</v>
      </c>
      <c r="H216" s="6">
        <v>0</v>
      </c>
      <c r="I216" s="7">
        <f t="shared" si="9"/>
        <v>0</v>
      </c>
      <c r="J216" s="6">
        <v>0</v>
      </c>
      <c r="K216" s="6">
        <v>0</v>
      </c>
      <c r="L216" s="8">
        <v>0</v>
      </c>
      <c r="M216" s="8">
        <v>0</v>
      </c>
      <c r="N216" s="4" t="s">
        <v>24</v>
      </c>
      <c r="O216" s="6">
        <v>4</v>
      </c>
      <c r="P216" s="6">
        <v>200</v>
      </c>
      <c r="Q216" s="6">
        <v>7</v>
      </c>
      <c r="R216" s="4"/>
      <c r="S216" s="3">
        <v>1290</v>
      </c>
      <c r="T216" s="4" t="s">
        <v>177</v>
      </c>
    </row>
    <row r="217" spans="1:20" ht="14.4">
      <c r="A217" s="3">
        <v>144</v>
      </c>
      <c r="B217" s="4" t="s">
        <v>174</v>
      </c>
      <c r="C217" s="4" t="s">
        <v>430</v>
      </c>
      <c r="D217" s="4" t="s">
        <v>440</v>
      </c>
      <c r="E217" s="6">
        <f t="shared" si="54"/>
        <v>0</v>
      </c>
      <c r="F217" s="6">
        <v>0</v>
      </c>
      <c r="G217" s="7">
        <v>0</v>
      </c>
      <c r="H217" s="6">
        <v>0</v>
      </c>
      <c r="I217" s="7">
        <f t="shared" si="9"/>
        <v>0</v>
      </c>
      <c r="J217" s="6">
        <v>0</v>
      </c>
      <c r="K217" s="6">
        <v>0</v>
      </c>
      <c r="L217" s="8">
        <v>0</v>
      </c>
      <c r="M217" s="8">
        <v>0</v>
      </c>
      <c r="N217" s="4" t="s">
        <v>24</v>
      </c>
      <c r="O217" s="6">
        <v>4</v>
      </c>
      <c r="P217" s="6">
        <v>200</v>
      </c>
      <c r="Q217" s="6">
        <v>7</v>
      </c>
      <c r="R217" s="4"/>
      <c r="S217" s="3">
        <v>1290</v>
      </c>
      <c r="T217" s="4" t="s">
        <v>177</v>
      </c>
    </row>
    <row r="218" spans="1:20" ht="14.4">
      <c r="A218" s="3">
        <v>145</v>
      </c>
      <c r="B218" s="4" t="s">
        <v>174</v>
      </c>
      <c r="C218" s="4" t="s">
        <v>441</v>
      </c>
      <c r="D218" s="4" t="s">
        <v>442</v>
      </c>
      <c r="E218" s="6">
        <f t="shared" si="54"/>
        <v>0</v>
      </c>
      <c r="F218" s="6">
        <v>0</v>
      </c>
      <c r="G218" s="7">
        <v>0</v>
      </c>
      <c r="H218" s="6">
        <v>0</v>
      </c>
      <c r="I218" s="7">
        <f t="shared" si="9"/>
        <v>0</v>
      </c>
      <c r="J218" s="6">
        <v>0</v>
      </c>
      <c r="K218" s="6">
        <v>0</v>
      </c>
      <c r="L218" s="8">
        <v>0</v>
      </c>
      <c r="M218" s="8">
        <v>0</v>
      </c>
      <c r="N218" s="4" t="s">
        <v>24</v>
      </c>
      <c r="O218" s="6">
        <v>4</v>
      </c>
      <c r="P218" s="6">
        <v>200</v>
      </c>
      <c r="Q218" s="6">
        <v>7</v>
      </c>
      <c r="R218" s="4"/>
      <c r="S218" s="3">
        <v>1290</v>
      </c>
      <c r="T218" s="4" t="s">
        <v>177</v>
      </c>
    </row>
    <row r="219" spans="1:20" ht="14.4">
      <c r="A219" s="3">
        <v>146</v>
      </c>
      <c r="B219" s="4" t="s">
        <v>174</v>
      </c>
      <c r="C219" s="4" t="s">
        <v>441</v>
      </c>
      <c r="D219" s="4" t="s">
        <v>443</v>
      </c>
      <c r="E219" s="6">
        <f t="shared" si="54"/>
        <v>0</v>
      </c>
      <c r="F219" s="6">
        <v>6313</v>
      </c>
      <c r="G219" s="7">
        <v>0</v>
      </c>
      <c r="H219" s="6">
        <v>6695</v>
      </c>
      <c r="I219" s="7">
        <f t="shared" si="9"/>
        <v>382</v>
      </c>
      <c r="J219" s="6">
        <v>0</v>
      </c>
      <c r="K219" s="6">
        <v>0</v>
      </c>
      <c r="L219" s="8">
        <v>0</v>
      </c>
      <c r="M219" s="8">
        <f>I219*Q219+P219+O219*115</f>
        <v>3334</v>
      </c>
      <c r="N219" s="4" t="s">
        <v>24</v>
      </c>
      <c r="O219" s="6">
        <v>4</v>
      </c>
      <c r="P219" s="6">
        <v>200</v>
      </c>
      <c r="Q219" s="6">
        <v>7</v>
      </c>
      <c r="R219" s="4" t="s">
        <v>444</v>
      </c>
      <c r="S219" s="3">
        <v>1290</v>
      </c>
      <c r="T219" s="4" t="s">
        <v>177</v>
      </c>
    </row>
    <row r="220" spans="1:20" ht="14.4">
      <c r="A220" s="3">
        <v>147</v>
      </c>
      <c r="B220" s="4" t="s">
        <v>174</v>
      </c>
      <c r="C220" s="4" t="s">
        <v>441</v>
      </c>
      <c r="D220" s="4" t="s">
        <v>445</v>
      </c>
      <c r="E220" s="6">
        <f t="shared" si="54"/>
        <v>0</v>
      </c>
      <c r="F220" s="6">
        <v>0</v>
      </c>
      <c r="G220" s="7">
        <v>0</v>
      </c>
      <c r="H220" s="6">
        <v>0</v>
      </c>
      <c r="I220" s="7">
        <f t="shared" si="9"/>
        <v>0</v>
      </c>
      <c r="J220" s="6">
        <v>0</v>
      </c>
      <c r="K220" s="6">
        <v>0</v>
      </c>
      <c r="L220" s="8">
        <v>0</v>
      </c>
      <c r="M220" s="8">
        <v>0</v>
      </c>
      <c r="N220" s="4" t="s">
        <v>24</v>
      </c>
      <c r="O220" s="6">
        <v>4</v>
      </c>
      <c r="P220" s="6">
        <v>200</v>
      </c>
      <c r="Q220" s="6">
        <v>7</v>
      </c>
      <c r="R220" s="4"/>
      <c r="S220" s="3">
        <v>1290</v>
      </c>
      <c r="T220" s="4" t="s">
        <v>177</v>
      </c>
    </row>
    <row r="221" spans="1:20" ht="14.4">
      <c r="A221" s="3">
        <v>148</v>
      </c>
      <c r="B221" s="4" t="s">
        <v>174</v>
      </c>
      <c r="C221" s="4" t="s">
        <v>441</v>
      </c>
      <c r="D221" s="4" t="s">
        <v>446</v>
      </c>
      <c r="E221" s="6">
        <f t="shared" si="54"/>
        <v>0</v>
      </c>
      <c r="F221" s="6">
        <v>2628</v>
      </c>
      <c r="G221" s="7">
        <v>0</v>
      </c>
      <c r="H221" s="6">
        <v>2716</v>
      </c>
      <c r="I221" s="7">
        <f t="shared" si="9"/>
        <v>88</v>
      </c>
      <c r="J221" s="6">
        <v>0</v>
      </c>
      <c r="K221" s="6">
        <v>0</v>
      </c>
      <c r="L221" s="8">
        <v>0</v>
      </c>
      <c r="M221" s="8">
        <f>I221*Q221+P221+O221*115</f>
        <v>1276</v>
      </c>
      <c r="N221" s="4" t="s">
        <v>24</v>
      </c>
      <c r="O221" s="6">
        <v>4</v>
      </c>
      <c r="P221" s="6">
        <v>200</v>
      </c>
      <c r="Q221" s="6">
        <v>7</v>
      </c>
      <c r="R221" s="4" t="s">
        <v>447</v>
      </c>
      <c r="S221" s="3">
        <v>1290</v>
      </c>
      <c r="T221" s="4" t="s">
        <v>177</v>
      </c>
    </row>
    <row r="222" spans="1:20" ht="14.4">
      <c r="A222" s="3">
        <v>149</v>
      </c>
      <c r="B222" s="4" t="s">
        <v>174</v>
      </c>
      <c r="C222" s="4" t="s">
        <v>441</v>
      </c>
      <c r="D222" s="4" t="s">
        <v>448</v>
      </c>
      <c r="E222" s="6">
        <f t="shared" si="54"/>
        <v>0</v>
      </c>
      <c r="F222" s="6">
        <v>0</v>
      </c>
      <c r="G222" s="7">
        <v>0</v>
      </c>
      <c r="H222" s="6">
        <v>0</v>
      </c>
      <c r="I222" s="7">
        <f t="shared" si="9"/>
        <v>0</v>
      </c>
      <c r="J222" s="6">
        <v>0</v>
      </c>
      <c r="K222" s="6">
        <v>0</v>
      </c>
      <c r="L222" s="8">
        <v>0</v>
      </c>
      <c r="M222" s="8">
        <v>0</v>
      </c>
      <c r="N222" s="4" t="s">
        <v>24</v>
      </c>
      <c r="O222" s="6">
        <v>4</v>
      </c>
      <c r="P222" s="6">
        <v>200</v>
      </c>
      <c r="Q222" s="6">
        <v>7</v>
      </c>
      <c r="R222" s="4"/>
      <c r="S222" s="3">
        <v>995</v>
      </c>
      <c r="T222" s="4" t="s">
        <v>186</v>
      </c>
    </row>
    <row r="223" spans="1:20" ht="14.4">
      <c r="A223" s="3">
        <v>150</v>
      </c>
      <c r="B223" s="4" t="s">
        <v>174</v>
      </c>
      <c r="C223" s="4" t="s">
        <v>441</v>
      </c>
      <c r="D223" s="4" t="s">
        <v>449</v>
      </c>
      <c r="E223" s="6">
        <f t="shared" si="54"/>
        <v>0</v>
      </c>
      <c r="F223" s="6">
        <v>15711</v>
      </c>
      <c r="G223" s="7">
        <v>0</v>
      </c>
      <c r="H223" s="6">
        <v>16149</v>
      </c>
      <c r="I223" s="7">
        <f t="shared" si="9"/>
        <v>438</v>
      </c>
      <c r="J223" s="6">
        <v>0</v>
      </c>
      <c r="K223" s="6">
        <v>0</v>
      </c>
      <c r="L223" s="8">
        <v>0</v>
      </c>
      <c r="M223" s="8">
        <f t="shared" ref="M223:M224" si="61">I223*Q223+P223+O223*115</f>
        <v>3726</v>
      </c>
      <c r="N223" s="4" t="s">
        <v>24</v>
      </c>
      <c r="O223" s="6">
        <v>4</v>
      </c>
      <c r="P223" s="6">
        <v>200</v>
      </c>
      <c r="Q223" s="6">
        <v>7</v>
      </c>
      <c r="R223" s="4" t="s">
        <v>134</v>
      </c>
      <c r="S223" s="3">
        <v>995</v>
      </c>
      <c r="T223" s="4" t="s">
        <v>186</v>
      </c>
    </row>
    <row r="224" spans="1:20" ht="14.4">
      <c r="A224" s="3">
        <v>151</v>
      </c>
      <c r="B224" s="4" t="s">
        <v>174</v>
      </c>
      <c r="C224" s="4" t="s">
        <v>441</v>
      </c>
      <c r="D224" s="4" t="s">
        <v>450</v>
      </c>
      <c r="E224" s="6">
        <f t="shared" si="54"/>
        <v>0</v>
      </c>
      <c r="F224" s="6">
        <v>3113</v>
      </c>
      <c r="G224" s="7">
        <v>0</v>
      </c>
      <c r="H224" s="6">
        <v>4384</v>
      </c>
      <c r="I224" s="7">
        <f t="shared" si="9"/>
        <v>1271</v>
      </c>
      <c r="J224" s="6">
        <v>0</v>
      </c>
      <c r="K224" s="6">
        <v>0</v>
      </c>
      <c r="L224" s="8">
        <v>0</v>
      </c>
      <c r="M224" s="8">
        <f t="shared" si="61"/>
        <v>9557</v>
      </c>
      <c r="N224" s="4" t="s">
        <v>24</v>
      </c>
      <c r="O224" s="6">
        <v>4</v>
      </c>
      <c r="P224" s="6">
        <v>200</v>
      </c>
      <c r="Q224" s="6">
        <v>7</v>
      </c>
      <c r="R224" s="4"/>
      <c r="S224" s="3">
        <v>1290</v>
      </c>
      <c r="T224" s="4" t="s">
        <v>177</v>
      </c>
    </row>
    <row r="225" spans="1:20" ht="14.4">
      <c r="A225" s="3">
        <v>152</v>
      </c>
      <c r="B225" s="4" t="s">
        <v>174</v>
      </c>
      <c r="C225" s="4" t="s">
        <v>441</v>
      </c>
      <c r="D225" s="4" t="s">
        <v>451</v>
      </c>
      <c r="E225" s="6">
        <f t="shared" si="54"/>
        <v>0</v>
      </c>
      <c r="F225" s="6">
        <v>0</v>
      </c>
      <c r="G225" s="7">
        <v>0</v>
      </c>
      <c r="H225" s="6">
        <v>0</v>
      </c>
      <c r="I225" s="7">
        <f t="shared" si="9"/>
        <v>0</v>
      </c>
      <c r="J225" s="6">
        <v>0</v>
      </c>
      <c r="K225" s="6">
        <v>0</v>
      </c>
      <c r="L225" s="8">
        <v>0</v>
      </c>
      <c r="M225" s="8">
        <v>0</v>
      </c>
      <c r="N225" s="4" t="s">
        <v>24</v>
      </c>
      <c r="O225" s="6">
        <v>4</v>
      </c>
      <c r="P225" s="6">
        <v>200</v>
      </c>
      <c r="Q225" s="6">
        <v>7</v>
      </c>
      <c r="R225" s="4"/>
      <c r="S225" s="3">
        <v>1290</v>
      </c>
      <c r="T225" s="4" t="s">
        <v>177</v>
      </c>
    </row>
    <row r="226" spans="1:20" ht="14.4">
      <c r="A226" s="3">
        <v>1</v>
      </c>
      <c r="B226" s="4" t="s">
        <v>452</v>
      </c>
      <c r="C226" s="4" t="s">
        <v>453</v>
      </c>
      <c r="D226" s="4" t="s">
        <v>454</v>
      </c>
      <c r="E226" s="6">
        <f t="shared" si="54"/>
        <v>0</v>
      </c>
      <c r="F226" s="6">
        <v>3658</v>
      </c>
      <c r="G226" s="7">
        <v>0</v>
      </c>
      <c r="H226" s="6">
        <v>4632</v>
      </c>
      <c r="I226" s="7">
        <f t="shared" si="9"/>
        <v>974</v>
      </c>
      <c r="J226" s="6">
        <v>0</v>
      </c>
      <c r="K226" s="6" t="s">
        <v>23</v>
      </c>
      <c r="L226" s="8">
        <v>0</v>
      </c>
      <c r="M226" s="8">
        <f>I226*Q226+P226+O226*115</f>
        <v>7478</v>
      </c>
      <c r="N226" s="4" t="s">
        <v>24</v>
      </c>
      <c r="O226" s="6">
        <v>4</v>
      </c>
      <c r="P226" s="6">
        <v>200</v>
      </c>
      <c r="Q226" s="6">
        <v>7</v>
      </c>
      <c r="R226" s="4" t="s">
        <v>455</v>
      </c>
      <c r="S226" s="3">
        <v>1290</v>
      </c>
      <c r="T226" s="4" t="s">
        <v>177</v>
      </c>
    </row>
    <row r="227" spans="1:20" ht="14.4">
      <c r="A227" s="3">
        <v>2</v>
      </c>
      <c r="B227" s="4" t="s">
        <v>452</v>
      </c>
      <c r="C227" s="4" t="s">
        <v>453</v>
      </c>
      <c r="D227" s="4" t="s">
        <v>456</v>
      </c>
      <c r="E227" s="6">
        <f t="shared" si="54"/>
        <v>0</v>
      </c>
      <c r="F227" s="6">
        <v>0</v>
      </c>
      <c r="G227" s="7">
        <v>0</v>
      </c>
      <c r="H227" s="6">
        <v>0</v>
      </c>
      <c r="I227" s="7">
        <f t="shared" si="9"/>
        <v>0</v>
      </c>
      <c r="J227" s="6">
        <v>0</v>
      </c>
      <c r="K227" s="6">
        <v>0</v>
      </c>
      <c r="L227" s="8">
        <v>0</v>
      </c>
      <c r="M227" s="8">
        <v>0</v>
      </c>
      <c r="N227" s="4" t="s">
        <v>24</v>
      </c>
      <c r="O227" s="6">
        <v>4</v>
      </c>
      <c r="P227" s="6">
        <v>200</v>
      </c>
      <c r="Q227" s="6">
        <v>7</v>
      </c>
      <c r="R227" s="4" t="s">
        <v>457</v>
      </c>
      <c r="S227" s="3">
        <v>1290</v>
      </c>
      <c r="T227" s="4" t="s">
        <v>177</v>
      </c>
    </row>
    <row r="228" spans="1:20" ht="14.4">
      <c r="A228" s="3">
        <v>3</v>
      </c>
      <c r="B228" s="4" t="s">
        <v>452</v>
      </c>
      <c r="C228" s="4" t="s">
        <v>453</v>
      </c>
      <c r="D228" s="4" t="s">
        <v>458</v>
      </c>
      <c r="E228" s="6">
        <f t="shared" si="54"/>
        <v>0</v>
      </c>
      <c r="F228" s="6">
        <v>0</v>
      </c>
      <c r="G228" s="7">
        <v>0</v>
      </c>
      <c r="H228" s="6">
        <v>0</v>
      </c>
      <c r="I228" s="7">
        <f t="shared" si="9"/>
        <v>0</v>
      </c>
      <c r="J228" s="6">
        <v>0</v>
      </c>
      <c r="K228" s="6">
        <v>0</v>
      </c>
      <c r="L228" s="8">
        <v>0</v>
      </c>
      <c r="M228" s="8">
        <v>0</v>
      </c>
      <c r="N228" s="4" t="s">
        <v>24</v>
      </c>
      <c r="O228" s="6">
        <v>4</v>
      </c>
      <c r="P228" s="6">
        <v>200</v>
      </c>
      <c r="Q228" s="6">
        <v>7</v>
      </c>
      <c r="R228" s="4"/>
      <c r="S228" s="3">
        <v>995</v>
      </c>
      <c r="T228" s="4" t="s">
        <v>186</v>
      </c>
    </row>
    <row r="229" spans="1:20" ht="14.4">
      <c r="A229" s="3">
        <v>4</v>
      </c>
      <c r="B229" s="4" t="s">
        <v>452</v>
      </c>
      <c r="C229" s="4" t="s">
        <v>453</v>
      </c>
      <c r="D229" s="4" t="s">
        <v>459</v>
      </c>
      <c r="E229" s="6">
        <f t="shared" si="54"/>
        <v>0</v>
      </c>
      <c r="F229" s="6">
        <v>537</v>
      </c>
      <c r="G229" s="7">
        <v>0</v>
      </c>
      <c r="H229" s="6">
        <v>684</v>
      </c>
      <c r="I229" s="7">
        <f t="shared" si="9"/>
        <v>147</v>
      </c>
      <c r="J229" s="6">
        <v>0</v>
      </c>
      <c r="K229" s="6" t="s">
        <v>23</v>
      </c>
      <c r="L229" s="8">
        <v>0</v>
      </c>
      <c r="M229" s="8">
        <f t="shared" ref="M229:M233" si="62">I229*Q229+P229+O229*115</f>
        <v>1689</v>
      </c>
      <c r="N229" s="4" t="s">
        <v>24</v>
      </c>
      <c r="O229" s="6">
        <v>4</v>
      </c>
      <c r="P229" s="6">
        <v>200</v>
      </c>
      <c r="Q229" s="6">
        <v>7</v>
      </c>
      <c r="R229" s="4" t="s">
        <v>460</v>
      </c>
      <c r="S229" s="3">
        <v>995</v>
      </c>
      <c r="T229" s="4" t="s">
        <v>186</v>
      </c>
    </row>
    <row r="230" spans="1:20" ht="14.4">
      <c r="A230" s="3">
        <v>5</v>
      </c>
      <c r="B230" s="4" t="s">
        <v>452</v>
      </c>
      <c r="C230" s="4" t="s">
        <v>453</v>
      </c>
      <c r="D230" s="4" t="s">
        <v>461</v>
      </c>
      <c r="E230" s="6">
        <f t="shared" si="54"/>
        <v>0</v>
      </c>
      <c r="F230" s="6">
        <v>507</v>
      </c>
      <c r="G230" s="7">
        <v>0</v>
      </c>
      <c r="H230" s="6">
        <v>823</v>
      </c>
      <c r="I230" s="7">
        <f t="shared" si="9"/>
        <v>316</v>
      </c>
      <c r="J230" s="6">
        <v>0</v>
      </c>
      <c r="K230" s="6">
        <v>0</v>
      </c>
      <c r="L230" s="8">
        <v>0</v>
      </c>
      <c r="M230" s="8">
        <f t="shared" si="62"/>
        <v>2872</v>
      </c>
      <c r="N230" s="4" t="s">
        <v>24</v>
      </c>
      <c r="O230" s="6">
        <v>4</v>
      </c>
      <c r="P230" s="6">
        <v>200</v>
      </c>
      <c r="Q230" s="6">
        <v>7</v>
      </c>
      <c r="R230" s="4" t="s">
        <v>462</v>
      </c>
      <c r="S230" s="3">
        <v>995</v>
      </c>
      <c r="T230" s="4" t="s">
        <v>186</v>
      </c>
    </row>
    <row r="231" spans="1:20" ht="14.4">
      <c r="A231" s="3">
        <v>6</v>
      </c>
      <c r="B231" s="4" t="s">
        <v>452</v>
      </c>
      <c r="C231" s="4" t="s">
        <v>453</v>
      </c>
      <c r="D231" s="4" t="s">
        <v>463</v>
      </c>
      <c r="E231" s="6">
        <f t="shared" si="54"/>
        <v>0</v>
      </c>
      <c r="F231" s="6">
        <v>4281</v>
      </c>
      <c r="G231" s="7">
        <v>0</v>
      </c>
      <c r="H231" s="6">
        <v>4509</v>
      </c>
      <c r="I231" s="7">
        <f t="shared" si="9"/>
        <v>228</v>
      </c>
      <c r="J231" s="6">
        <v>0</v>
      </c>
      <c r="K231" s="6">
        <v>0</v>
      </c>
      <c r="L231" s="8">
        <v>0</v>
      </c>
      <c r="M231" s="8">
        <f t="shared" si="62"/>
        <v>2256</v>
      </c>
      <c r="N231" s="4" t="s">
        <v>24</v>
      </c>
      <c r="O231" s="6">
        <v>4</v>
      </c>
      <c r="P231" s="6">
        <v>200</v>
      </c>
      <c r="Q231" s="6">
        <v>7</v>
      </c>
      <c r="R231" s="4" t="s">
        <v>464</v>
      </c>
      <c r="S231" s="3">
        <v>995</v>
      </c>
      <c r="T231" s="4" t="s">
        <v>186</v>
      </c>
    </row>
    <row r="232" spans="1:20" ht="14.4">
      <c r="A232" s="3">
        <v>7</v>
      </c>
      <c r="B232" s="4" t="s">
        <v>452</v>
      </c>
      <c r="C232" s="4" t="s">
        <v>453</v>
      </c>
      <c r="D232" s="4" t="s">
        <v>465</v>
      </c>
      <c r="E232" s="6">
        <f t="shared" si="54"/>
        <v>0</v>
      </c>
      <c r="F232" s="6">
        <v>641</v>
      </c>
      <c r="G232" s="7">
        <v>0</v>
      </c>
      <c r="H232" s="6">
        <v>803</v>
      </c>
      <c r="I232" s="7">
        <f t="shared" si="9"/>
        <v>162</v>
      </c>
      <c r="J232" s="6">
        <v>0</v>
      </c>
      <c r="K232" s="6">
        <v>0</v>
      </c>
      <c r="L232" s="8">
        <v>0</v>
      </c>
      <c r="M232" s="8">
        <f t="shared" si="62"/>
        <v>1794</v>
      </c>
      <c r="N232" s="4" t="s">
        <v>24</v>
      </c>
      <c r="O232" s="6">
        <v>4</v>
      </c>
      <c r="P232" s="6">
        <v>200</v>
      </c>
      <c r="Q232" s="6">
        <v>7</v>
      </c>
      <c r="R232" s="4" t="s">
        <v>464</v>
      </c>
      <c r="S232" s="3">
        <v>995</v>
      </c>
      <c r="T232" s="4" t="s">
        <v>186</v>
      </c>
    </row>
    <row r="233" spans="1:20" ht="14.4">
      <c r="A233" s="3">
        <v>8</v>
      </c>
      <c r="B233" s="4" t="s">
        <v>452</v>
      </c>
      <c r="C233" s="4" t="s">
        <v>453</v>
      </c>
      <c r="D233" s="4" t="s">
        <v>466</v>
      </c>
      <c r="E233" s="6">
        <f t="shared" si="54"/>
        <v>0</v>
      </c>
      <c r="F233" s="6">
        <v>4299</v>
      </c>
      <c r="G233" s="7">
        <v>0</v>
      </c>
      <c r="H233" s="6">
        <v>4773</v>
      </c>
      <c r="I233" s="7">
        <f t="shared" si="9"/>
        <v>474</v>
      </c>
      <c r="J233" s="6">
        <v>0</v>
      </c>
      <c r="K233" s="6">
        <v>0</v>
      </c>
      <c r="L233" s="8">
        <v>0</v>
      </c>
      <c r="M233" s="8">
        <f t="shared" si="62"/>
        <v>3978</v>
      </c>
      <c r="N233" s="4" t="s">
        <v>24</v>
      </c>
      <c r="O233" s="6">
        <v>4</v>
      </c>
      <c r="P233" s="6">
        <v>200</v>
      </c>
      <c r="Q233" s="6">
        <v>7</v>
      </c>
      <c r="R233" s="4" t="s">
        <v>467</v>
      </c>
      <c r="S233" s="3">
        <v>995</v>
      </c>
      <c r="T233" s="4" t="s">
        <v>186</v>
      </c>
    </row>
    <row r="234" spans="1:20" ht="14.4">
      <c r="A234" s="3">
        <v>9</v>
      </c>
      <c r="B234" s="4" t="s">
        <v>452</v>
      </c>
      <c r="C234" s="4" t="s">
        <v>468</v>
      </c>
      <c r="D234" s="4" t="s">
        <v>469</v>
      </c>
      <c r="E234" s="6">
        <f t="shared" si="54"/>
        <v>0</v>
      </c>
      <c r="F234" s="6">
        <v>0</v>
      </c>
      <c r="G234" s="7">
        <v>0</v>
      </c>
      <c r="H234" s="6">
        <v>0</v>
      </c>
      <c r="I234" s="7">
        <f t="shared" si="9"/>
        <v>0</v>
      </c>
      <c r="J234" s="6">
        <v>0</v>
      </c>
      <c r="K234" s="6">
        <v>0</v>
      </c>
      <c r="L234" s="8">
        <v>0</v>
      </c>
      <c r="M234" s="8">
        <v>0</v>
      </c>
      <c r="N234" s="4" t="s">
        <v>24</v>
      </c>
      <c r="O234" s="6">
        <v>4</v>
      </c>
      <c r="P234" s="6">
        <v>200</v>
      </c>
      <c r="Q234" s="6">
        <v>7</v>
      </c>
      <c r="R234" s="4"/>
      <c r="S234" s="3">
        <v>1290</v>
      </c>
      <c r="T234" s="4" t="s">
        <v>177</v>
      </c>
    </row>
    <row r="235" spans="1:20" ht="14.4">
      <c r="A235" s="3">
        <v>10</v>
      </c>
      <c r="B235" s="4" t="s">
        <v>452</v>
      </c>
      <c r="C235" s="4" t="s">
        <v>468</v>
      </c>
      <c r="D235" s="4" t="s">
        <v>470</v>
      </c>
      <c r="E235" s="6">
        <f t="shared" si="54"/>
        <v>0</v>
      </c>
      <c r="F235" s="6">
        <v>18384</v>
      </c>
      <c r="G235" s="7">
        <v>0</v>
      </c>
      <c r="H235" s="6">
        <v>18587</v>
      </c>
      <c r="I235" s="7">
        <f t="shared" si="9"/>
        <v>203</v>
      </c>
      <c r="J235" s="6">
        <v>0</v>
      </c>
      <c r="K235" s="6">
        <v>0</v>
      </c>
      <c r="L235" s="8">
        <v>0</v>
      </c>
      <c r="M235" s="8">
        <f t="shared" ref="M235:M239" si="63">I235*Q235+P235+O235*115</f>
        <v>2081</v>
      </c>
      <c r="N235" s="4" t="s">
        <v>24</v>
      </c>
      <c r="O235" s="6">
        <v>4</v>
      </c>
      <c r="P235" s="6">
        <v>200</v>
      </c>
      <c r="Q235" s="6">
        <v>7</v>
      </c>
      <c r="R235" s="4" t="s">
        <v>471</v>
      </c>
      <c r="S235" s="3">
        <v>1290</v>
      </c>
      <c r="T235" s="4" t="s">
        <v>177</v>
      </c>
    </row>
    <row r="236" spans="1:20" ht="14.4">
      <c r="A236" s="3">
        <v>11</v>
      </c>
      <c r="B236" s="4" t="s">
        <v>452</v>
      </c>
      <c r="C236" s="4" t="s">
        <v>468</v>
      </c>
      <c r="D236" s="4" t="s">
        <v>472</v>
      </c>
      <c r="E236" s="6">
        <f t="shared" si="54"/>
        <v>0</v>
      </c>
      <c r="F236" s="6">
        <v>1342</v>
      </c>
      <c r="G236" s="7">
        <v>0</v>
      </c>
      <c r="H236" s="6">
        <v>1371</v>
      </c>
      <c r="I236" s="7">
        <f t="shared" si="9"/>
        <v>29</v>
      </c>
      <c r="J236" s="6">
        <v>0</v>
      </c>
      <c r="K236" s="6" t="s">
        <v>23</v>
      </c>
      <c r="L236" s="8">
        <v>0</v>
      </c>
      <c r="M236" s="8">
        <f t="shared" si="63"/>
        <v>863</v>
      </c>
      <c r="N236" s="4" t="s">
        <v>24</v>
      </c>
      <c r="O236" s="6">
        <v>4</v>
      </c>
      <c r="P236" s="6">
        <v>200</v>
      </c>
      <c r="Q236" s="6">
        <v>7</v>
      </c>
      <c r="R236" s="4" t="s">
        <v>473</v>
      </c>
      <c r="S236" s="3">
        <v>995</v>
      </c>
      <c r="T236" s="4" t="s">
        <v>186</v>
      </c>
    </row>
    <row r="237" spans="1:20" ht="14.4">
      <c r="A237" s="3">
        <v>12</v>
      </c>
      <c r="B237" s="4" t="s">
        <v>452</v>
      </c>
      <c r="C237" s="4" t="s">
        <v>468</v>
      </c>
      <c r="D237" s="4" t="s">
        <v>474</v>
      </c>
      <c r="E237" s="6">
        <f t="shared" si="54"/>
        <v>0</v>
      </c>
      <c r="F237" s="6">
        <v>5810</v>
      </c>
      <c r="G237" s="7">
        <v>0</v>
      </c>
      <c r="H237" s="6">
        <v>5836</v>
      </c>
      <c r="I237" s="7">
        <f t="shared" si="9"/>
        <v>26</v>
      </c>
      <c r="J237" s="6">
        <v>0</v>
      </c>
      <c r="K237" s="6">
        <v>0</v>
      </c>
      <c r="L237" s="8">
        <v>0</v>
      </c>
      <c r="M237" s="8">
        <f t="shared" si="63"/>
        <v>842</v>
      </c>
      <c r="N237" s="4" t="s">
        <v>24</v>
      </c>
      <c r="O237" s="6">
        <v>4</v>
      </c>
      <c r="P237" s="6">
        <v>200</v>
      </c>
      <c r="Q237" s="6">
        <v>7</v>
      </c>
      <c r="R237" s="4" t="s">
        <v>475</v>
      </c>
      <c r="S237" s="3">
        <v>995</v>
      </c>
      <c r="T237" s="4" t="s">
        <v>186</v>
      </c>
    </row>
    <row r="238" spans="1:20" ht="14.4">
      <c r="A238" s="3">
        <v>13</v>
      </c>
      <c r="B238" s="4" t="s">
        <v>452</v>
      </c>
      <c r="C238" s="4" t="s">
        <v>468</v>
      </c>
      <c r="D238" s="4" t="s">
        <v>476</v>
      </c>
      <c r="E238" s="6">
        <f t="shared" si="54"/>
        <v>0</v>
      </c>
      <c r="F238" s="6">
        <v>5708</v>
      </c>
      <c r="G238" s="7">
        <v>0</v>
      </c>
      <c r="H238" s="6">
        <v>6214</v>
      </c>
      <c r="I238" s="7">
        <f t="shared" si="9"/>
        <v>506</v>
      </c>
      <c r="J238" s="6">
        <v>0</v>
      </c>
      <c r="K238" s="6" t="s">
        <v>23</v>
      </c>
      <c r="L238" s="8">
        <v>0</v>
      </c>
      <c r="M238" s="8">
        <f t="shared" si="63"/>
        <v>4202</v>
      </c>
      <c r="N238" s="4" t="s">
        <v>24</v>
      </c>
      <c r="O238" s="6">
        <v>4</v>
      </c>
      <c r="P238" s="6">
        <v>200</v>
      </c>
      <c r="Q238" s="6">
        <v>7</v>
      </c>
      <c r="R238" s="4" t="s">
        <v>477</v>
      </c>
      <c r="S238" s="3">
        <v>995</v>
      </c>
      <c r="T238" s="4" t="s">
        <v>186</v>
      </c>
    </row>
    <row r="239" spans="1:20" ht="14.4">
      <c r="A239" s="3">
        <v>14</v>
      </c>
      <c r="B239" s="4" t="s">
        <v>452</v>
      </c>
      <c r="C239" s="4" t="s">
        <v>468</v>
      </c>
      <c r="D239" s="4" t="s">
        <v>478</v>
      </c>
      <c r="E239" s="6">
        <f t="shared" si="54"/>
        <v>0</v>
      </c>
      <c r="F239" s="6">
        <v>1059</v>
      </c>
      <c r="G239" s="7">
        <v>0</v>
      </c>
      <c r="H239" s="6">
        <v>1362</v>
      </c>
      <c r="I239" s="7">
        <f t="shared" si="9"/>
        <v>303</v>
      </c>
      <c r="J239" s="6">
        <v>0</v>
      </c>
      <c r="K239" s="6" t="s">
        <v>23</v>
      </c>
      <c r="L239" s="8">
        <v>0</v>
      </c>
      <c r="M239" s="8">
        <f t="shared" si="63"/>
        <v>2781</v>
      </c>
      <c r="N239" s="4" t="s">
        <v>24</v>
      </c>
      <c r="O239" s="6">
        <v>4</v>
      </c>
      <c r="P239" s="6">
        <v>200</v>
      </c>
      <c r="Q239" s="6">
        <v>7</v>
      </c>
      <c r="R239" s="4" t="s">
        <v>479</v>
      </c>
      <c r="S239" s="3">
        <v>995</v>
      </c>
      <c r="T239" s="4" t="s">
        <v>186</v>
      </c>
    </row>
    <row r="240" spans="1:20" ht="14.4">
      <c r="A240" s="3">
        <v>15</v>
      </c>
      <c r="B240" s="4" t="s">
        <v>452</v>
      </c>
      <c r="C240" s="4" t="s">
        <v>468</v>
      </c>
      <c r="D240" s="4" t="s">
        <v>480</v>
      </c>
      <c r="E240" s="6">
        <f t="shared" si="54"/>
        <v>0</v>
      </c>
      <c r="F240" s="6">
        <v>0</v>
      </c>
      <c r="G240" s="7">
        <v>0</v>
      </c>
      <c r="H240" s="6">
        <v>0</v>
      </c>
      <c r="I240" s="7">
        <f t="shared" si="9"/>
        <v>0</v>
      </c>
      <c r="J240" s="6">
        <v>0</v>
      </c>
      <c r="K240" s="6">
        <v>0</v>
      </c>
      <c r="L240" s="8">
        <v>0</v>
      </c>
      <c r="M240" s="8">
        <v>0</v>
      </c>
      <c r="N240" s="4" t="s">
        <v>24</v>
      </c>
      <c r="O240" s="6">
        <v>4</v>
      </c>
      <c r="P240" s="6">
        <v>200</v>
      </c>
      <c r="Q240" s="6">
        <v>7</v>
      </c>
      <c r="R240" s="4"/>
      <c r="S240" s="3">
        <v>995</v>
      </c>
      <c r="T240" s="4" t="s">
        <v>186</v>
      </c>
    </row>
    <row r="241" spans="1:20" ht="14.4">
      <c r="A241" s="3">
        <v>16</v>
      </c>
      <c r="B241" s="4" t="s">
        <v>452</v>
      </c>
      <c r="C241" s="4" t="s">
        <v>468</v>
      </c>
      <c r="D241" s="4" t="s">
        <v>481</v>
      </c>
      <c r="E241" s="6">
        <f t="shared" si="54"/>
        <v>0</v>
      </c>
      <c r="F241" s="6">
        <v>7451</v>
      </c>
      <c r="G241" s="7">
        <v>0</v>
      </c>
      <c r="H241" s="6">
        <v>8042</v>
      </c>
      <c r="I241" s="7">
        <f t="shared" si="9"/>
        <v>591</v>
      </c>
      <c r="J241" s="6">
        <v>0</v>
      </c>
      <c r="K241" s="6" t="s">
        <v>23</v>
      </c>
      <c r="L241" s="8">
        <v>0</v>
      </c>
      <c r="M241" s="8">
        <f t="shared" ref="M241:M246" si="64">I241*Q241+P241+O241*115</f>
        <v>4797</v>
      </c>
      <c r="N241" s="4" t="s">
        <v>24</v>
      </c>
      <c r="O241" s="6">
        <v>4</v>
      </c>
      <c r="P241" s="6">
        <v>200</v>
      </c>
      <c r="Q241" s="6">
        <v>7</v>
      </c>
      <c r="R241" s="4" t="s">
        <v>482</v>
      </c>
      <c r="S241" s="3">
        <v>995</v>
      </c>
      <c r="T241" s="4" t="s">
        <v>186</v>
      </c>
    </row>
    <row r="242" spans="1:20" ht="14.4">
      <c r="A242" s="3">
        <v>17</v>
      </c>
      <c r="B242" s="4" t="s">
        <v>452</v>
      </c>
      <c r="C242" s="4" t="s">
        <v>483</v>
      </c>
      <c r="D242" s="4" t="s">
        <v>484</v>
      </c>
      <c r="E242" s="6">
        <f t="shared" si="54"/>
        <v>0</v>
      </c>
      <c r="F242" s="6">
        <v>506</v>
      </c>
      <c r="G242" s="7">
        <v>0</v>
      </c>
      <c r="H242" s="6">
        <v>961</v>
      </c>
      <c r="I242" s="7">
        <f t="shared" si="9"/>
        <v>455</v>
      </c>
      <c r="J242" s="6">
        <v>0</v>
      </c>
      <c r="K242" s="6" t="s">
        <v>23</v>
      </c>
      <c r="L242" s="8">
        <v>0</v>
      </c>
      <c r="M242" s="8">
        <f t="shared" si="64"/>
        <v>3845</v>
      </c>
      <c r="N242" s="4" t="s">
        <v>24</v>
      </c>
      <c r="O242" s="6">
        <v>4</v>
      </c>
      <c r="P242" s="6">
        <v>200</v>
      </c>
      <c r="Q242" s="6">
        <v>7</v>
      </c>
      <c r="R242" s="4" t="s">
        <v>485</v>
      </c>
      <c r="S242" s="3">
        <v>1290</v>
      </c>
      <c r="T242" s="4" t="s">
        <v>177</v>
      </c>
    </row>
    <row r="243" spans="1:20" ht="14.4">
      <c r="A243" s="3">
        <v>18</v>
      </c>
      <c r="B243" s="4" t="s">
        <v>452</v>
      </c>
      <c r="C243" s="4" t="s">
        <v>483</v>
      </c>
      <c r="D243" s="4" t="s">
        <v>486</v>
      </c>
      <c r="E243" s="6">
        <f t="shared" si="54"/>
        <v>0</v>
      </c>
      <c r="F243" s="6">
        <v>2361</v>
      </c>
      <c r="G243" s="7">
        <v>0</v>
      </c>
      <c r="H243" s="6">
        <v>2572</v>
      </c>
      <c r="I243" s="7">
        <f t="shared" si="9"/>
        <v>211</v>
      </c>
      <c r="J243" s="6">
        <v>0</v>
      </c>
      <c r="K243" s="6" t="s">
        <v>23</v>
      </c>
      <c r="L243" s="8">
        <v>0</v>
      </c>
      <c r="M243" s="8">
        <f t="shared" si="64"/>
        <v>2137</v>
      </c>
      <c r="N243" s="4" t="s">
        <v>24</v>
      </c>
      <c r="O243" s="6">
        <v>4</v>
      </c>
      <c r="P243" s="6">
        <v>200</v>
      </c>
      <c r="Q243" s="6">
        <v>7</v>
      </c>
      <c r="R243" s="4" t="s">
        <v>348</v>
      </c>
      <c r="S243" s="3">
        <v>1290</v>
      </c>
      <c r="T243" s="4" t="s">
        <v>177</v>
      </c>
    </row>
    <row r="244" spans="1:20" ht="14.4">
      <c r="A244" s="3">
        <v>19</v>
      </c>
      <c r="B244" s="4" t="s">
        <v>452</v>
      </c>
      <c r="C244" s="4" t="s">
        <v>483</v>
      </c>
      <c r="D244" s="4" t="s">
        <v>487</v>
      </c>
      <c r="E244" s="6">
        <f t="shared" si="54"/>
        <v>0</v>
      </c>
      <c r="F244" s="6">
        <v>13842</v>
      </c>
      <c r="G244" s="7">
        <v>0</v>
      </c>
      <c r="H244" s="6">
        <v>14158</v>
      </c>
      <c r="I244" s="7">
        <f t="shared" si="9"/>
        <v>316</v>
      </c>
      <c r="J244" s="6">
        <v>0</v>
      </c>
      <c r="K244" s="6">
        <v>0</v>
      </c>
      <c r="L244" s="8">
        <v>0</v>
      </c>
      <c r="M244" s="8">
        <f t="shared" si="64"/>
        <v>2872</v>
      </c>
      <c r="N244" s="4" t="s">
        <v>24</v>
      </c>
      <c r="O244" s="6">
        <v>4</v>
      </c>
      <c r="P244" s="6">
        <v>200</v>
      </c>
      <c r="Q244" s="6">
        <v>7</v>
      </c>
      <c r="R244" s="4" t="s">
        <v>488</v>
      </c>
      <c r="S244" s="3">
        <v>995</v>
      </c>
      <c r="T244" s="4" t="s">
        <v>186</v>
      </c>
    </row>
    <row r="245" spans="1:20" ht="14.4">
      <c r="A245" s="3">
        <v>20</v>
      </c>
      <c r="B245" s="4" t="s">
        <v>452</v>
      </c>
      <c r="C245" s="4" t="s">
        <v>483</v>
      </c>
      <c r="D245" s="4" t="s">
        <v>489</v>
      </c>
      <c r="E245" s="6">
        <f t="shared" si="54"/>
        <v>0</v>
      </c>
      <c r="F245" s="6">
        <v>8199</v>
      </c>
      <c r="G245" s="7">
        <v>0</v>
      </c>
      <c r="H245" s="6">
        <v>8249</v>
      </c>
      <c r="I245" s="7">
        <f t="shared" si="9"/>
        <v>50</v>
      </c>
      <c r="J245" s="6">
        <v>0</v>
      </c>
      <c r="K245" s="6" t="s">
        <v>23</v>
      </c>
      <c r="L245" s="8">
        <v>0</v>
      </c>
      <c r="M245" s="8">
        <f t="shared" si="64"/>
        <v>1010</v>
      </c>
      <c r="N245" s="4" t="s">
        <v>24</v>
      </c>
      <c r="O245" s="6">
        <v>4</v>
      </c>
      <c r="P245" s="6">
        <v>200</v>
      </c>
      <c r="Q245" s="6">
        <v>7</v>
      </c>
      <c r="R245" s="4" t="s">
        <v>490</v>
      </c>
      <c r="S245" s="3">
        <v>995</v>
      </c>
      <c r="T245" s="4" t="s">
        <v>186</v>
      </c>
    </row>
    <row r="246" spans="1:20" ht="14.4">
      <c r="A246" s="3">
        <v>21</v>
      </c>
      <c r="B246" s="4" t="s">
        <v>452</v>
      </c>
      <c r="C246" s="4" t="s">
        <v>483</v>
      </c>
      <c r="D246" s="4" t="s">
        <v>491</v>
      </c>
      <c r="E246" s="6">
        <f t="shared" si="54"/>
        <v>0</v>
      </c>
      <c r="F246" s="6">
        <v>2854</v>
      </c>
      <c r="G246" s="7">
        <v>0</v>
      </c>
      <c r="H246" s="6">
        <v>3259</v>
      </c>
      <c r="I246" s="7">
        <f t="shared" si="9"/>
        <v>405</v>
      </c>
      <c r="J246" s="6">
        <v>0</v>
      </c>
      <c r="K246" s="6" t="s">
        <v>23</v>
      </c>
      <c r="L246" s="8">
        <v>0</v>
      </c>
      <c r="M246" s="8">
        <f t="shared" si="64"/>
        <v>3495</v>
      </c>
      <c r="N246" s="4" t="s">
        <v>24</v>
      </c>
      <c r="O246" s="6">
        <v>4</v>
      </c>
      <c r="P246" s="6">
        <v>200</v>
      </c>
      <c r="Q246" s="6">
        <v>7</v>
      </c>
      <c r="R246" s="4" t="s">
        <v>492</v>
      </c>
      <c r="S246" s="3">
        <v>995</v>
      </c>
      <c r="T246" s="4" t="s">
        <v>186</v>
      </c>
    </row>
    <row r="247" spans="1:20" ht="14.4">
      <c r="A247" s="3">
        <v>22</v>
      </c>
      <c r="B247" s="4" t="s">
        <v>452</v>
      </c>
      <c r="C247" s="4" t="s">
        <v>483</v>
      </c>
      <c r="D247" s="4" t="s">
        <v>493</v>
      </c>
      <c r="E247" s="6">
        <f t="shared" si="54"/>
        <v>0</v>
      </c>
      <c r="F247" s="6">
        <v>0</v>
      </c>
      <c r="G247" s="7">
        <v>0</v>
      </c>
      <c r="H247" s="6">
        <v>0</v>
      </c>
      <c r="I247" s="7">
        <f t="shared" si="9"/>
        <v>0</v>
      </c>
      <c r="J247" s="6">
        <v>0</v>
      </c>
      <c r="K247" s="6">
        <v>0</v>
      </c>
      <c r="L247" s="8">
        <v>0</v>
      </c>
      <c r="M247" s="8">
        <v>0</v>
      </c>
      <c r="N247" s="4" t="s">
        <v>24</v>
      </c>
      <c r="O247" s="6">
        <v>4</v>
      </c>
      <c r="P247" s="6">
        <v>200</v>
      </c>
      <c r="Q247" s="6">
        <v>7</v>
      </c>
      <c r="R247" s="4" t="s">
        <v>494</v>
      </c>
      <c r="S247" s="3">
        <v>995</v>
      </c>
      <c r="T247" s="4" t="s">
        <v>186</v>
      </c>
    </row>
    <row r="248" spans="1:20" ht="14.4">
      <c r="A248" s="3">
        <v>23</v>
      </c>
      <c r="B248" s="4" t="s">
        <v>452</v>
      </c>
      <c r="C248" s="4" t="s">
        <v>483</v>
      </c>
      <c r="D248" s="4" t="s">
        <v>495</v>
      </c>
      <c r="E248" s="6">
        <f t="shared" si="54"/>
        <v>0</v>
      </c>
      <c r="F248" s="6">
        <v>3931</v>
      </c>
      <c r="G248" s="7">
        <v>0</v>
      </c>
      <c r="H248" s="6">
        <v>4272</v>
      </c>
      <c r="I248" s="7">
        <f t="shared" si="9"/>
        <v>341</v>
      </c>
      <c r="J248" s="6">
        <v>0</v>
      </c>
      <c r="K248" s="6" t="s">
        <v>23</v>
      </c>
      <c r="L248" s="8">
        <v>0</v>
      </c>
      <c r="M248" s="8">
        <f t="shared" ref="M248:M275" si="65">I248*Q248+P248+O248*115</f>
        <v>3047</v>
      </c>
      <c r="N248" s="4" t="s">
        <v>24</v>
      </c>
      <c r="O248" s="6">
        <v>4</v>
      </c>
      <c r="P248" s="6">
        <v>200</v>
      </c>
      <c r="Q248" s="6">
        <v>7</v>
      </c>
      <c r="R248" s="4" t="s">
        <v>496</v>
      </c>
      <c r="S248" s="3">
        <v>995</v>
      </c>
      <c r="T248" s="4" t="s">
        <v>186</v>
      </c>
    </row>
    <row r="249" spans="1:20" ht="14.4">
      <c r="A249" s="3">
        <v>24</v>
      </c>
      <c r="B249" s="4" t="s">
        <v>452</v>
      </c>
      <c r="C249" s="4" t="s">
        <v>483</v>
      </c>
      <c r="D249" s="4" t="s">
        <v>497</v>
      </c>
      <c r="E249" s="6">
        <f t="shared" si="54"/>
        <v>0</v>
      </c>
      <c r="F249" s="6">
        <v>16689</v>
      </c>
      <c r="G249" s="7">
        <v>0</v>
      </c>
      <c r="H249" s="6">
        <v>17461</v>
      </c>
      <c r="I249" s="7">
        <f t="shared" si="9"/>
        <v>772</v>
      </c>
      <c r="J249" s="6">
        <v>0</v>
      </c>
      <c r="K249" s="6">
        <v>0</v>
      </c>
      <c r="L249" s="8">
        <v>0</v>
      </c>
      <c r="M249" s="8">
        <f t="shared" si="65"/>
        <v>6064</v>
      </c>
      <c r="N249" s="4" t="s">
        <v>24</v>
      </c>
      <c r="O249" s="6">
        <v>4</v>
      </c>
      <c r="P249" s="6">
        <v>200</v>
      </c>
      <c r="Q249" s="6">
        <v>7</v>
      </c>
      <c r="R249" s="4" t="s">
        <v>498</v>
      </c>
      <c r="S249" s="3">
        <v>995</v>
      </c>
      <c r="T249" s="4" t="s">
        <v>186</v>
      </c>
    </row>
    <row r="250" spans="1:20" ht="14.4">
      <c r="A250" s="3">
        <v>25</v>
      </c>
      <c r="B250" s="4" t="s">
        <v>452</v>
      </c>
      <c r="C250" s="4" t="s">
        <v>499</v>
      </c>
      <c r="D250" s="4" t="s">
        <v>500</v>
      </c>
      <c r="E250" s="6">
        <f t="shared" si="54"/>
        <v>0</v>
      </c>
      <c r="F250" s="6">
        <v>7724</v>
      </c>
      <c r="G250" s="7">
        <v>0</v>
      </c>
      <c r="H250" s="6">
        <v>8481</v>
      </c>
      <c r="I250" s="7">
        <f t="shared" si="9"/>
        <v>757</v>
      </c>
      <c r="J250" s="6">
        <v>0</v>
      </c>
      <c r="K250" s="6">
        <v>0</v>
      </c>
      <c r="L250" s="8">
        <v>0</v>
      </c>
      <c r="M250" s="8">
        <f t="shared" si="65"/>
        <v>5959</v>
      </c>
      <c r="N250" s="4" t="s">
        <v>24</v>
      </c>
      <c r="O250" s="6">
        <v>4</v>
      </c>
      <c r="P250" s="6">
        <v>200</v>
      </c>
      <c r="Q250" s="6">
        <v>7</v>
      </c>
      <c r="R250" s="4" t="s">
        <v>501</v>
      </c>
      <c r="S250" s="3">
        <v>1290</v>
      </c>
      <c r="T250" s="4" t="s">
        <v>177</v>
      </c>
    </row>
    <row r="251" spans="1:20" ht="14.4">
      <c r="A251" s="3">
        <v>26</v>
      </c>
      <c r="B251" s="4" t="s">
        <v>452</v>
      </c>
      <c r="C251" s="4" t="s">
        <v>499</v>
      </c>
      <c r="D251" s="4" t="s">
        <v>502</v>
      </c>
      <c r="E251" s="6">
        <f t="shared" si="54"/>
        <v>0</v>
      </c>
      <c r="F251" s="6">
        <v>22857</v>
      </c>
      <c r="G251" s="7">
        <v>0</v>
      </c>
      <c r="H251" s="6">
        <v>23465</v>
      </c>
      <c r="I251" s="7">
        <f t="shared" si="9"/>
        <v>608</v>
      </c>
      <c r="J251" s="6">
        <v>0</v>
      </c>
      <c r="K251" s="6" t="s">
        <v>23</v>
      </c>
      <c r="L251" s="8">
        <v>0</v>
      </c>
      <c r="M251" s="8">
        <f t="shared" si="65"/>
        <v>4916</v>
      </c>
      <c r="N251" s="4" t="s">
        <v>24</v>
      </c>
      <c r="O251" s="6">
        <v>4</v>
      </c>
      <c r="P251" s="6">
        <v>200</v>
      </c>
      <c r="Q251" s="6">
        <v>7</v>
      </c>
      <c r="R251" s="4" t="s">
        <v>503</v>
      </c>
      <c r="S251" s="3">
        <v>1290</v>
      </c>
      <c r="T251" s="4" t="s">
        <v>177</v>
      </c>
    </row>
    <row r="252" spans="1:20" ht="14.4">
      <c r="A252" s="3">
        <v>27</v>
      </c>
      <c r="B252" s="4" t="s">
        <v>452</v>
      </c>
      <c r="C252" s="4" t="s">
        <v>499</v>
      </c>
      <c r="D252" s="4" t="s">
        <v>504</v>
      </c>
      <c r="E252" s="6">
        <f t="shared" si="54"/>
        <v>0</v>
      </c>
      <c r="F252" s="6">
        <v>1226</v>
      </c>
      <c r="G252" s="7">
        <v>0</v>
      </c>
      <c r="H252" s="6">
        <v>1492</v>
      </c>
      <c r="I252" s="7">
        <f t="shared" si="9"/>
        <v>266</v>
      </c>
      <c r="J252" s="6">
        <v>0</v>
      </c>
      <c r="K252" s="6" t="s">
        <v>23</v>
      </c>
      <c r="L252" s="8">
        <v>0</v>
      </c>
      <c r="M252" s="8">
        <f t="shared" si="65"/>
        <v>2522</v>
      </c>
      <c r="N252" s="4" t="s">
        <v>24</v>
      </c>
      <c r="O252" s="6">
        <v>4</v>
      </c>
      <c r="P252" s="6">
        <v>200</v>
      </c>
      <c r="Q252" s="6">
        <v>7</v>
      </c>
      <c r="R252" s="4" t="s">
        <v>505</v>
      </c>
      <c r="S252" s="3">
        <v>995</v>
      </c>
      <c r="T252" s="4" t="s">
        <v>186</v>
      </c>
    </row>
    <row r="253" spans="1:20" ht="14.4">
      <c r="A253" s="3">
        <v>28</v>
      </c>
      <c r="B253" s="4" t="s">
        <v>452</v>
      </c>
      <c r="C253" s="4" t="s">
        <v>499</v>
      </c>
      <c r="D253" s="4" t="s">
        <v>506</v>
      </c>
      <c r="E253" s="6">
        <f t="shared" si="54"/>
        <v>0</v>
      </c>
      <c r="F253" s="6">
        <v>38278</v>
      </c>
      <c r="G253" s="7">
        <v>0</v>
      </c>
      <c r="H253" s="6">
        <v>39318</v>
      </c>
      <c r="I253" s="7">
        <f t="shared" si="9"/>
        <v>1040</v>
      </c>
      <c r="J253" s="6">
        <v>0</v>
      </c>
      <c r="K253" s="6" t="s">
        <v>23</v>
      </c>
      <c r="L253" s="8">
        <v>0</v>
      </c>
      <c r="M253" s="8">
        <f t="shared" si="65"/>
        <v>7940</v>
      </c>
      <c r="N253" s="4" t="s">
        <v>24</v>
      </c>
      <c r="O253" s="6">
        <v>4</v>
      </c>
      <c r="P253" s="6">
        <v>200</v>
      </c>
      <c r="Q253" s="6">
        <v>7</v>
      </c>
      <c r="R253" s="4" t="s">
        <v>507</v>
      </c>
      <c r="S253" s="3">
        <v>995</v>
      </c>
      <c r="T253" s="4" t="s">
        <v>186</v>
      </c>
    </row>
    <row r="254" spans="1:20" ht="14.4">
      <c r="A254" s="3">
        <v>29</v>
      </c>
      <c r="B254" s="4" t="s">
        <v>452</v>
      </c>
      <c r="C254" s="4" t="s">
        <v>499</v>
      </c>
      <c r="D254" s="4" t="s">
        <v>508</v>
      </c>
      <c r="E254" s="6">
        <f t="shared" si="54"/>
        <v>0</v>
      </c>
      <c r="F254" s="6">
        <v>10497</v>
      </c>
      <c r="G254" s="7">
        <v>0</v>
      </c>
      <c r="H254" s="6">
        <v>10579</v>
      </c>
      <c r="I254" s="7">
        <f t="shared" si="9"/>
        <v>82</v>
      </c>
      <c r="J254" s="6">
        <v>0</v>
      </c>
      <c r="K254" s="6">
        <v>0</v>
      </c>
      <c r="L254" s="8">
        <v>0</v>
      </c>
      <c r="M254" s="8">
        <f t="shared" si="65"/>
        <v>1234</v>
      </c>
      <c r="N254" s="4" t="s">
        <v>24</v>
      </c>
      <c r="O254" s="6">
        <v>4</v>
      </c>
      <c r="P254" s="6">
        <v>200</v>
      </c>
      <c r="Q254" s="6">
        <v>7</v>
      </c>
      <c r="R254" s="4" t="s">
        <v>509</v>
      </c>
      <c r="S254" s="3">
        <v>995</v>
      </c>
      <c r="T254" s="4" t="s">
        <v>186</v>
      </c>
    </row>
    <row r="255" spans="1:20" ht="14.4">
      <c r="A255" s="3">
        <v>30</v>
      </c>
      <c r="B255" s="4" t="s">
        <v>452</v>
      </c>
      <c r="C255" s="4" t="s">
        <v>499</v>
      </c>
      <c r="D255" s="4" t="s">
        <v>510</v>
      </c>
      <c r="E255" s="6">
        <f t="shared" si="54"/>
        <v>0</v>
      </c>
      <c r="F255" s="6">
        <v>6689</v>
      </c>
      <c r="G255" s="7">
        <v>0</v>
      </c>
      <c r="H255" s="6">
        <v>7249</v>
      </c>
      <c r="I255" s="7">
        <f t="shared" si="9"/>
        <v>560</v>
      </c>
      <c r="J255" s="6">
        <v>0</v>
      </c>
      <c r="K255" s="6" t="s">
        <v>23</v>
      </c>
      <c r="L255" s="8">
        <v>0</v>
      </c>
      <c r="M255" s="8">
        <f t="shared" si="65"/>
        <v>4580</v>
      </c>
      <c r="N255" s="4" t="s">
        <v>24</v>
      </c>
      <c r="O255" s="6">
        <v>4</v>
      </c>
      <c r="P255" s="6">
        <v>200</v>
      </c>
      <c r="Q255" s="6">
        <v>7</v>
      </c>
      <c r="R255" s="4" t="s">
        <v>511</v>
      </c>
      <c r="S255" s="3">
        <v>995</v>
      </c>
      <c r="T255" s="4" t="s">
        <v>186</v>
      </c>
    </row>
    <row r="256" spans="1:20" ht="14.4">
      <c r="A256" s="3">
        <v>31</v>
      </c>
      <c r="B256" s="4" t="s">
        <v>452</v>
      </c>
      <c r="C256" s="4" t="s">
        <v>499</v>
      </c>
      <c r="D256" s="4" t="s">
        <v>512</v>
      </c>
      <c r="E256" s="6">
        <f t="shared" si="54"/>
        <v>0</v>
      </c>
      <c r="F256" s="6">
        <v>9868</v>
      </c>
      <c r="G256" s="7">
        <v>0</v>
      </c>
      <c r="H256" s="6">
        <v>9977</v>
      </c>
      <c r="I256" s="7">
        <f t="shared" si="9"/>
        <v>109</v>
      </c>
      <c r="J256" s="6">
        <v>0</v>
      </c>
      <c r="K256" s="6" t="s">
        <v>23</v>
      </c>
      <c r="L256" s="8">
        <v>0</v>
      </c>
      <c r="M256" s="8">
        <f t="shared" si="65"/>
        <v>1423</v>
      </c>
      <c r="N256" s="4" t="s">
        <v>24</v>
      </c>
      <c r="O256" s="6">
        <v>4</v>
      </c>
      <c r="P256" s="6">
        <v>200</v>
      </c>
      <c r="Q256" s="6">
        <v>7</v>
      </c>
      <c r="R256" s="4" t="s">
        <v>513</v>
      </c>
      <c r="S256" s="3">
        <v>995</v>
      </c>
      <c r="T256" s="4" t="s">
        <v>186</v>
      </c>
    </row>
    <row r="257" spans="1:20" ht="14.4">
      <c r="A257" s="3">
        <v>32</v>
      </c>
      <c r="B257" s="4" t="s">
        <v>452</v>
      </c>
      <c r="C257" s="4" t="s">
        <v>499</v>
      </c>
      <c r="D257" s="4" t="s">
        <v>514</v>
      </c>
      <c r="E257" s="6">
        <f t="shared" si="54"/>
        <v>0</v>
      </c>
      <c r="F257" s="6">
        <v>2999</v>
      </c>
      <c r="G257" s="7">
        <v>0</v>
      </c>
      <c r="H257" s="6">
        <v>3066</v>
      </c>
      <c r="I257" s="7">
        <f t="shared" si="9"/>
        <v>67</v>
      </c>
      <c r="J257" s="6">
        <v>0</v>
      </c>
      <c r="K257" s="6">
        <v>0</v>
      </c>
      <c r="L257" s="8">
        <v>0</v>
      </c>
      <c r="M257" s="8">
        <f t="shared" si="65"/>
        <v>1129</v>
      </c>
      <c r="N257" s="4" t="s">
        <v>24</v>
      </c>
      <c r="O257" s="6">
        <v>4</v>
      </c>
      <c r="P257" s="6">
        <v>200</v>
      </c>
      <c r="Q257" s="6">
        <v>7</v>
      </c>
      <c r="R257" s="4" t="s">
        <v>515</v>
      </c>
      <c r="S257" s="3">
        <v>995</v>
      </c>
      <c r="T257" s="4" t="s">
        <v>186</v>
      </c>
    </row>
    <row r="258" spans="1:20" ht="14.4">
      <c r="A258" s="3">
        <v>33</v>
      </c>
      <c r="B258" s="4" t="s">
        <v>452</v>
      </c>
      <c r="C258" s="4" t="s">
        <v>516</v>
      </c>
      <c r="D258" s="4" t="s">
        <v>517</v>
      </c>
      <c r="E258" s="6">
        <f t="shared" si="54"/>
        <v>0</v>
      </c>
      <c r="F258" s="6">
        <v>5241</v>
      </c>
      <c r="G258" s="7">
        <v>0</v>
      </c>
      <c r="H258" s="6">
        <v>5610</v>
      </c>
      <c r="I258" s="7">
        <f t="shared" si="9"/>
        <v>369</v>
      </c>
      <c r="J258" s="6">
        <v>0</v>
      </c>
      <c r="K258" s="6" t="s">
        <v>23</v>
      </c>
      <c r="L258" s="8">
        <v>0</v>
      </c>
      <c r="M258" s="8">
        <f t="shared" si="65"/>
        <v>3243</v>
      </c>
      <c r="N258" s="4" t="s">
        <v>24</v>
      </c>
      <c r="O258" s="6">
        <v>4</v>
      </c>
      <c r="P258" s="6">
        <v>200</v>
      </c>
      <c r="Q258" s="6">
        <v>7</v>
      </c>
      <c r="R258" s="4" t="s">
        <v>518</v>
      </c>
      <c r="S258" s="3">
        <v>1290</v>
      </c>
      <c r="T258" s="4" t="s">
        <v>177</v>
      </c>
    </row>
    <row r="259" spans="1:20" ht="14.4">
      <c r="A259" s="3">
        <v>34</v>
      </c>
      <c r="B259" s="4" t="s">
        <v>452</v>
      </c>
      <c r="C259" s="4" t="s">
        <v>516</v>
      </c>
      <c r="D259" s="4" t="s">
        <v>519</v>
      </c>
      <c r="E259" s="6">
        <f t="shared" si="54"/>
        <v>0</v>
      </c>
      <c r="F259" s="6">
        <v>7138</v>
      </c>
      <c r="G259" s="7">
        <v>0</v>
      </c>
      <c r="H259" s="6">
        <v>7680</v>
      </c>
      <c r="I259" s="7">
        <f t="shared" si="9"/>
        <v>542</v>
      </c>
      <c r="J259" s="6">
        <v>0</v>
      </c>
      <c r="K259" s="6" t="s">
        <v>23</v>
      </c>
      <c r="L259" s="8">
        <v>0</v>
      </c>
      <c r="M259" s="8">
        <f t="shared" si="65"/>
        <v>4454</v>
      </c>
      <c r="N259" s="4" t="s">
        <v>24</v>
      </c>
      <c r="O259" s="6">
        <v>4</v>
      </c>
      <c r="P259" s="6">
        <v>200</v>
      </c>
      <c r="Q259" s="6">
        <v>7</v>
      </c>
      <c r="R259" s="4" t="s">
        <v>520</v>
      </c>
      <c r="S259" s="3">
        <v>1290</v>
      </c>
      <c r="T259" s="4" t="s">
        <v>177</v>
      </c>
    </row>
    <row r="260" spans="1:20" ht="14.4">
      <c r="A260" s="3">
        <v>35</v>
      </c>
      <c r="B260" s="4" t="s">
        <v>452</v>
      </c>
      <c r="C260" s="4" t="s">
        <v>516</v>
      </c>
      <c r="D260" s="4" t="s">
        <v>521</v>
      </c>
      <c r="E260" s="6">
        <f t="shared" si="54"/>
        <v>0</v>
      </c>
      <c r="F260" s="6">
        <v>7553</v>
      </c>
      <c r="G260" s="7">
        <v>0</v>
      </c>
      <c r="H260" s="6">
        <v>7721</v>
      </c>
      <c r="I260" s="7">
        <f t="shared" si="9"/>
        <v>168</v>
      </c>
      <c r="J260" s="6">
        <v>0</v>
      </c>
      <c r="K260" s="6" t="s">
        <v>23</v>
      </c>
      <c r="L260" s="8">
        <v>0</v>
      </c>
      <c r="M260" s="8">
        <f t="shared" si="65"/>
        <v>1836</v>
      </c>
      <c r="N260" s="4" t="s">
        <v>24</v>
      </c>
      <c r="O260" s="6">
        <v>4</v>
      </c>
      <c r="P260" s="6">
        <v>200</v>
      </c>
      <c r="Q260" s="6">
        <v>7</v>
      </c>
      <c r="R260" s="4" t="s">
        <v>522</v>
      </c>
      <c r="S260" s="3">
        <v>995</v>
      </c>
      <c r="T260" s="4" t="s">
        <v>186</v>
      </c>
    </row>
    <row r="261" spans="1:20" ht="14.4">
      <c r="A261" s="3">
        <v>36</v>
      </c>
      <c r="B261" s="4" t="s">
        <v>452</v>
      </c>
      <c r="C261" s="4" t="s">
        <v>516</v>
      </c>
      <c r="D261" s="4" t="s">
        <v>523</v>
      </c>
      <c r="E261" s="6">
        <f t="shared" si="54"/>
        <v>0</v>
      </c>
      <c r="F261" s="6">
        <v>2510</v>
      </c>
      <c r="G261" s="7">
        <v>0</v>
      </c>
      <c r="H261" s="6">
        <v>2795</v>
      </c>
      <c r="I261" s="7">
        <f t="shared" si="9"/>
        <v>285</v>
      </c>
      <c r="J261" s="6">
        <v>0</v>
      </c>
      <c r="K261" s="6" t="s">
        <v>23</v>
      </c>
      <c r="L261" s="8">
        <v>0</v>
      </c>
      <c r="M261" s="8">
        <f t="shared" si="65"/>
        <v>2655</v>
      </c>
      <c r="N261" s="4" t="s">
        <v>24</v>
      </c>
      <c r="O261" s="6">
        <v>4</v>
      </c>
      <c r="P261" s="6">
        <v>200</v>
      </c>
      <c r="Q261" s="6">
        <v>7</v>
      </c>
      <c r="R261" s="4" t="s">
        <v>524</v>
      </c>
      <c r="S261" s="3">
        <v>995</v>
      </c>
      <c r="T261" s="4" t="s">
        <v>186</v>
      </c>
    </row>
    <row r="262" spans="1:20" ht="14.4">
      <c r="A262" s="3">
        <v>37</v>
      </c>
      <c r="B262" s="4" t="s">
        <v>452</v>
      </c>
      <c r="C262" s="4" t="s">
        <v>516</v>
      </c>
      <c r="D262" s="4" t="s">
        <v>525</v>
      </c>
      <c r="E262" s="6">
        <f t="shared" si="54"/>
        <v>0</v>
      </c>
      <c r="F262" s="6">
        <v>5492</v>
      </c>
      <c r="G262" s="7">
        <v>0</v>
      </c>
      <c r="H262" s="6">
        <v>5762</v>
      </c>
      <c r="I262" s="7">
        <f t="shared" si="9"/>
        <v>270</v>
      </c>
      <c r="J262" s="6">
        <v>0</v>
      </c>
      <c r="K262" s="6" t="s">
        <v>23</v>
      </c>
      <c r="L262" s="8">
        <v>0</v>
      </c>
      <c r="M262" s="8">
        <f t="shared" si="65"/>
        <v>2550</v>
      </c>
      <c r="N262" s="4" t="s">
        <v>24</v>
      </c>
      <c r="O262" s="6">
        <v>4</v>
      </c>
      <c r="P262" s="6">
        <v>200</v>
      </c>
      <c r="Q262" s="6">
        <v>7</v>
      </c>
      <c r="R262" s="4" t="s">
        <v>526</v>
      </c>
      <c r="S262" s="3">
        <v>995</v>
      </c>
      <c r="T262" s="4" t="s">
        <v>186</v>
      </c>
    </row>
    <row r="263" spans="1:20" ht="14.4">
      <c r="A263" s="3">
        <v>38</v>
      </c>
      <c r="B263" s="4" t="s">
        <v>452</v>
      </c>
      <c r="C263" s="4" t="s">
        <v>516</v>
      </c>
      <c r="D263" s="4" t="s">
        <v>527</v>
      </c>
      <c r="E263" s="6">
        <f t="shared" si="54"/>
        <v>0</v>
      </c>
      <c r="F263" s="6">
        <v>4665</v>
      </c>
      <c r="G263" s="7">
        <v>0</v>
      </c>
      <c r="H263" s="6">
        <v>4933</v>
      </c>
      <c r="I263" s="7">
        <f t="shared" si="9"/>
        <v>268</v>
      </c>
      <c r="J263" s="6">
        <v>0</v>
      </c>
      <c r="K263" s="6" t="s">
        <v>23</v>
      </c>
      <c r="L263" s="8">
        <v>0</v>
      </c>
      <c r="M263" s="8">
        <f t="shared" si="65"/>
        <v>2536</v>
      </c>
      <c r="N263" s="4" t="s">
        <v>24</v>
      </c>
      <c r="O263" s="6">
        <v>4</v>
      </c>
      <c r="P263" s="6">
        <v>200</v>
      </c>
      <c r="Q263" s="6">
        <v>7</v>
      </c>
      <c r="R263" s="4" t="s">
        <v>528</v>
      </c>
      <c r="S263" s="3">
        <v>995</v>
      </c>
      <c r="T263" s="4" t="s">
        <v>186</v>
      </c>
    </row>
    <row r="264" spans="1:20" ht="14.4">
      <c r="A264" s="3">
        <v>39</v>
      </c>
      <c r="B264" s="4" t="s">
        <v>452</v>
      </c>
      <c r="C264" s="4" t="s">
        <v>516</v>
      </c>
      <c r="D264" s="4" t="s">
        <v>529</v>
      </c>
      <c r="E264" s="6">
        <f t="shared" si="54"/>
        <v>0</v>
      </c>
      <c r="F264" s="6">
        <v>13099</v>
      </c>
      <c r="G264" s="7">
        <v>0</v>
      </c>
      <c r="H264" s="6">
        <v>13944</v>
      </c>
      <c r="I264" s="7">
        <f t="shared" si="9"/>
        <v>845</v>
      </c>
      <c r="J264" s="6">
        <v>0</v>
      </c>
      <c r="K264" s="6" t="s">
        <v>23</v>
      </c>
      <c r="L264" s="8">
        <v>0</v>
      </c>
      <c r="M264" s="8">
        <f t="shared" si="65"/>
        <v>6575</v>
      </c>
      <c r="N264" s="4" t="s">
        <v>24</v>
      </c>
      <c r="O264" s="6">
        <v>4</v>
      </c>
      <c r="P264" s="6">
        <v>200</v>
      </c>
      <c r="Q264" s="6">
        <v>7</v>
      </c>
      <c r="R264" s="4" t="s">
        <v>530</v>
      </c>
      <c r="S264" s="3">
        <v>995</v>
      </c>
      <c r="T264" s="4" t="s">
        <v>186</v>
      </c>
    </row>
    <row r="265" spans="1:20" ht="14.4">
      <c r="A265" s="3">
        <v>40</v>
      </c>
      <c r="B265" s="4" t="s">
        <v>452</v>
      </c>
      <c r="C265" s="4" t="s">
        <v>516</v>
      </c>
      <c r="D265" s="4" t="s">
        <v>531</v>
      </c>
      <c r="E265" s="6">
        <v>8157</v>
      </c>
      <c r="F265" s="6">
        <v>8491</v>
      </c>
      <c r="G265" s="7">
        <f>F265-E265</f>
        <v>334</v>
      </c>
      <c r="H265" s="6">
        <v>8726</v>
      </c>
      <c r="I265" s="7">
        <f t="shared" si="9"/>
        <v>235</v>
      </c>
      <c r="J265" s="6" t="s">
        <v>23</v>
      </c>
      <c r="K265" s="6" t="s">
        <v>23</v>
      </c>
      <c r="L265" s="8">
        <f>G265*Q265+P265+O265*115</f>
        <v>2998</v>
      </c>
      <c r="M265" s="8">
        <f t="shared" si="65"/>
        <v>2305</v>
      </c>
      <c r="N265" s="4" t="s">
        <v>24</v>
      </c>
      <c r="O265" s="6">
        <v>4</v>
      </c>
      <c r="P265" s="6">
        <v>200</v>
      </c>
      <c r="Q265" s="6">
        <v>7</v>
      </c>
      <c r="R265" s="4" t="s">
        <v>532</v>
      </c>
      <c r="S265" s="3">
        <v>995</v>
      </c>
      <c r="T265" s="4" t="s">
        <v>186</v>
      </c>
    </row>
    <row r="266" spans="1:20" ht="14.4">
      <c r="A266" s="3">
        <v>41</v>
      </c>
      <c r="B266" s="4" t="s">
        <v>452</v>
      </c>
      <c r="C266" s="4" t="s">
        <v>533</v>
      </c>
      <c r="D266" s="4" t="s">
        <v>534</v>
      </c>
      <c r="E266" s="6">
        <f>J266</f>
        <v>0</v>
      </c>
      <c r="F266" s="6">
        <v>13910</v>
      </c>
      <c r="G266" s="7">
        <v>0</v>
      </c>
      <c r="H266" s="6">
        <v>14688</v>
      </c>
      <c r="I266" s="7">
        <f t="shared" si="9"/>
        <v>778</v>
      </c>
      <c r="J266" s="6">
        <v>0</v>
      </c>
      <c r="K266" s="6" t="s">
        <v>23</v>
      </c>
      <c r="L266" s="8">
        <v>0</v>
      </c>
      <c r="M266" s="8">
        <f t="shared" si="65"/>
        <v>6106</v>
      </c>
      <c r="N266" s="4" t="s">
        <v>24</v>
      </c>
      <c r="O266" s="6">
        <v>4</v>
      </c>
      <c r="P266" s="6">
        <v>200</v>
      </c>
      <c r="Q266" s="6">
        <v>7</v>
      </c>
      <c r="R266" s="4" t="s">
        <v>535</v>
      </c>
      <c r="S266" s="3">
        <v>1290</v>
      </c>
      <c r="T266" s="4" t="s">
        <v>177</v>
      </c>
    </row>
    <row r="267" spans="1:20" ht="14.4">
      <c r="A267" s="3">
        <v>42</v>
      </c>
      <c r="B267" s="4" t="s">
        <v>452</v>
      </c>
      <c r="C267" s="4" t="s">
        <v>533</v>
      </c>
      <c r="D267" s="4" t="s">
        <v>536</v>
      </c>
      <c r="E267" s="6">
        <v>17071</v>
      </c>
      <c r="F267" s="6">
        <v>17360</v>
      </c>
      <c r="G267" s="7">
        <f>F267-E267</f>
        <v>289</v>
      </c>
      <c r="H267" s="6">
        <v>17365</v>
      </c>
      <c r="I267" s="7">
        <f t="shared" si="9"/>
        <v>5</v>
      </c>
      <c r="J267" s="6" t="s">
        <v>23</v>
      </c>
      <c r="K267" s="6" t="s">
        <v>23</v>
      </c>
      <c r="L267" s="8">
        <f>G267*Q267+P267+O267*115</f>
        <v>2683</v>
      </c>
      <c r="M267" s="8">
        <f t="shared" si="65"/>
        <v>695</v>
      </c>
      <c r="N267" s="4" t="s">
        <v>24</v>
      </c>
      <c r="O267" s="6">
        <v>4</v>
      </c>
      <c r="P267" s="6">
        <v>200</v>
      </c>
      <c r="Q267" s="6">
        <v>7</v>
      </c>
      <c r="R267" s="4" t="s">
        <v>537</v>
      </c>
      <c r="S267" s="3">
        <v>1290</v>
      </c>
      <c r="T267" s="4" t="s">
        <v>177</v>
      </c>
    </row>
    <row r="268" spans="1:20" ht="14.4">
      <c r="A268" s="3">
        <v>43</v>
      </c>
      <c r="B268" s="4" t="s">
        <v>452</v>
      </c>
      <c r="C268" s="4" t="s">
        <v>533</v>
      </c>
      <c r="D268" s="4" t="s">
        <v>538</v>
      </c>
      <c r="E268" s="6">
        <f t="shared" ref="E268:E298" si="66">J268</f>
        <v>0</v>
      </c>
      <c r="F268" s="6">
        <v>8619</v>
      </c>
      <c r="G268" s="7">
        <v>0</v>
      </c>
      <c r="H268" s="6">
        <v>9102</v>
      </c>
      <c r="I268" s="7">
        <f t="shared" si="9"/>
        <v>483</v>
      </c>
      <c r="J268" s="6">
        <v>0</v>
      </c>
      <c r="K268" s="6" t="s">
        <v>23</v>
      </c>
      <c r="L268" s="8">
        <v>0</v>
      </c>
      <c r="M268" s="8">
        <f t="shared" si="65"/>
        <v>4041</v>
      </c>
      <c r="N268" s="4" t="s">
        <v>24</v>
      </c>
      <c r="O268" s="6">
        <v>4</v>
      </c>
      <c r="P268" s="6">
        <v>200</v>
      </c>
      <c r="Q268" s="6">
        <v>7</v>
      </c>
      <c r="R268" s="4" t="s">
        <v>539</v>
      </c>
      <c r="S268" s="3">
        <v>995</v>
      </c>
      <c r="T268" s="4" t="s">
        <v>186</v>
      </c>
    </row>
    <row r="269" spans="1:20" ht="14.4">
      <c r="A269" s="3">
        <v>44</v>
      </c>
      <c r="B269" s="4" t="s">
        <v>452</v>
      </c>
      <c r="C269" s="4" t="s">
        <v>533</v>
      </c>
      <c r="D269" s="4" t="s">
        <v>540</v>
      </c>
      <c r="E269" s="6">
        <f t="shared" si="66"/>
        <v>0</v>
      </c>
      <c r="F269" s="6">
        <v>2313</v>
      </c>
      <c r="G269" s="7">
        <v>0</v>
      </c>
      <c r="H269" s="6">
        <v>2409</v>
      </c>
      <c r="I269" s="7">
        <f t="shared" si="9"/>
        <v>96</v>
      </c>
      <c r="J269" s="6">
        <v>0</v>
      </c>
      <c r="K269" s="6" t="s">
        <v>23</v>
      </c>
      <c r="L269" s="8">
        <v>0</v>
      </c>
      <c r="M269" s="8">
        <f t="shared" si="65"/>
        <v>1332</v>
      </c>
      <c r="N269" s="4" t="s">
        <v>24</v>
      </c>
      <c r="O269" s="6">
        <v>4</v>
      </c>
      <c r="P269" s="6">
        <v>200</v>
      </c>
      <c r="Q269" s="6">
        <v>7</v>
      </c>
      <c r="R269" s="4" t="s">
        <v>541</v>
      </c>
      <c r="S269" s="3">
        <v>995</v>
      </c>
      <c r="T269" s="4" t="s">
        <v>186</v>
      </c>
    </row>
    <row r="270" spans="1:20" ht="14.4">
      <c r="A270" s="3">
        <v>45</v>
      </c>
      <c r="B270" s="4" t="s">
        <v>452</v>
      </c>
      <c r="C270" s="4" t="s">
        <v>533</v>
      </c>
      <c r="D270" s="4" t="s">
        <v>542</v>
      </c>
      <c r="E270" s="6">
        <f t="shared" si="66"/>
        <v>0</v>
      </c>
      <c r="F270" s="6">
        <v>1490</v>
      </c>
      <c r="G270" s="7">
        <v>0</v>
      </c>
      <c r="H270" s="6">
        <v>1819</v>
      </c>
      <c r="I270" s="7">
        <f t="shared" si="9"/>
        <v>329</v>
      </c>
      <c r="J270" s="6">
        <v>0</v>
      </c>
      <c r="K270" s="6" t="s">
        <v>23</v>
      </c>
      <c r="L270" s="8">
        <v>0</v>
      </c>
      <c r="M270" s="8">
        <f t="shared" si="65"/>
        <v>2963</v>
      </c>
      <c r="N270" s="4" t="s">
        <v>24</v>
      </c>
      <c r="O270" s="6">
        <v>4</v>
      </c>
      <c r="P270" s="6">
        <v>200</v>
      </c>
      <c r="Q270" s="6">
        <v>7</v>
      </c>
      <c r="R270" s="4"/>
      <c r="S270" s="3">
        <v>995</v>
      </c>
      <c r="T270" s="4" t="s">
        <v>186</v>
      </c>
    </row>
    <row r="271" spans="1:20" ht="14.4">
      <c r="A271" s="3">
        <v>46</v>
      </c>
      <c r="B271" s="4" t="s">
        <v>452</v>
      </c>
      <c r="C271" s="4" t="s">
        <v>533</v>
      </c>
      <c r="D271" s="4" t="s">
        <v>543</v>
      </c>
      <c r="E271" s="6">
        <f t="shared" si="66"/>
        <v>0</v>
      </c>
      <c r="F271" s="6">
        <v>12204</v>
      </c>
      <c r="G271" s="7">
        <v>0</v>
      </c>
      <c r="H271" s="6">
        <v>12810</v>
      </c>
      <c r="I271" s="7">
        <f t="shared" si="9"/>
        <v>606</v>
      </c>
      <c r="J271" s="6">
        <v>0</v>
      </c>
      <c r="K271" s="6">
        <v>0</v>
      </c>
      <c r="L271" s="8">
        <v>0</v>
      </c>
      <c r="M271" s="8">
        <f t="shared" si="65"/>
        <v>4902</v>
      </c>
      <c r="N271" s="4" t="s">
        <v>24</v>
      </c>
      <c r="O271" s="6">
        <v>4</v>
      </c>
      <c r="P271" s="6">
        <v>200</v>
      </c>
      <c r="Q271" s="6">
        <v>7</v>
      </c>
      <c r="R271" s="4" t="s">
        <v>544</v>
      </c>
      <c r="S271" s="3">
        <v>995</v>
      </c>
      <c r="T271" s="4" t="s">
        <v>186</v>
      </c>
    </row>
    <row r="272" spans="1:20" ht="14.4">
      <c r="A272" s="3">
        <v>47</v>
      </c>
      <c r="B272" s="4" t="s">
        <v>452</v>
      </c>
      <c r="C272" s="4" t="s">
        <v>533</v>
      </c>
      <c r="D272" s="4" t="s">
        <v>545</v>
      </c>
      <c r="E272" s="6">
        <f t="shared" si="66"/>
        <v>0</v>
      </c>
      <c r="F272" s="6">
        <v>6063</v>
      </c>
      <c r="G272" s="7">
        <v>0</v>
      </c>
      <c r="H272" s="6">
        <v>6425</v>
      </c>
      <c r="I272" s="7">
        <f t="shared" si="9"/>
        <v>362</v>
      </c>
      <c r="J272" s="6">
        <v>0</v>
      </c>
      <c r="K272" s="6" t="s">
        <v>23</v>
      </c>
      <c r="L272" s="8">
        <v>0</v>
      </c>
      <c r="M272" s="8">
        <f t="shared" si="65"/>
        <v>3194</v>
      </c>
      <c r="N272" s="4" t="s">
        <v>24</v>
      </c>
      <c r="O272" s="6">
        <v>4</v>
      </c>
      <c r="P272" s="6">
        <v>200</v>
      </c>
      <c r="Q272" s="6">
        <v>7</v>
      </c>
      <c r="R272" s="4" t="s">
        <v>546</v>
      </c>
      <c r="S272" s="3">
        <v>995</v>
      </c>
      <c r="T272" s="4" t="s">
        <v>186</v>
      </c>
    </row>
    <row r="273" spans="1:20" ht="14.4">
      <c r="A273" s="3">
        <v>48</v>
      </c>
      <c r="B273" s="4" t="s">
        <v>452</v>
      </c>
      <c r="C273" s="4" t="s">
        <v>533</v>
      </c>
      <c r="D273" s="4" t="s">
        <v>547</v>
      </c>
      <c r="E273" s="6">
        <f t="shared" si="66"/>
        <v>0</v>
      </c>
      <c r="F273" s="6">
        <v>8343</v>
      </c>
      <c r="G273" s="7">
        <v>0</v>
      </c>
      <c r="H273" s="6">
        <v>8662</v>
      </c>
      <c r="I273" s="7">
        <f t="shared" si="9"/>
        <v>319</v>
      </c>
      <c r="J273" s="6">
        <v>0</v>
      </c>
      <c r="K273" s="6" t="s">
        <v>23</v>
      </c>
      <c r="L273" s="8">
        <v>0</v>
      </c>
      <c r="M273" s="8">
        <f t="shared" si="65"/>
        <v>2893</v>
      </c>
      <c r="N273" s="4" t="s">
        <v>24</v>
      </c>
      <c r="O273" s="6">
        <v>4</v>
      </c>
      <c r="P273" s="6">
        <v>200</v>
      </c>
      <c r="Q273" s="6">
        <v>7</v>
      </c>
      <c r="R273" s="4" t="s">
        <v>548</v>
      </c>
      <c r="S273" s="3">
        <v>995</v>
      </c>
      <c r="T273" s="4" t="s">
        <v>186</v>
      </c>
    </row>
    <row r="274" spans="1:20" ht="14.4">
      <c r="A274" s="3">
        <v>49</v>
      </c>
      <c r="B274" s="4" t="s">
        <v>452</v>
      </c>
      <c r="C274" s="4" t="s">
        <v>549</v>
      </c>
      <c r="D274" s="4" t="s">
        <v>550</v>
      </c>
      <c r="E274" s="6">
        <f t="shared" si="66"/>
        <v>0</v>
      </c>
      <c r="F274" s="6">
        <v>12892</v>
      </c>
      <c r="G274" s="7">
        <v>0</v>
      </c>
      <c r="H274" s="6">
        <v>13010</v>
      </c>
      <c r="I274" s="7">
        <f t="shared" si="9"/>
        <v>118</v>
      </c>
      <c r="J274" s="6">
        <v>0</v>
      </c>
      <c r="K274" s="6">
        <v>0</v>
      </c>
      <c r="L274" s="8">
        <v>0</v>
      </c>
      <c r="M274" s="8">
        <f t="shared" si="65"/>
        <v>1486</v>
      </c>
      <c r="N274" s="4" t="s">
        <v>24</v>
      </c>
      <c r="O274" s="6">
        <v>4</v>
      </c>
      <c r="P274" s="6">
        <v>200</v>
      </c>
      <c r="Q274" s="6">
        <v>7</v>
      </c>
      <c r="R274" s="4" t="s">
        <v>551</v>
      </c>
      <c r="S274" s="3">
        <v>1290</v>
      </c>
      <c r="T274" s="4" t="s">
        <v>177</v>
      </c>
    </row>
    <row r="275" spans="1:20" ht="14.4">
      <c r="A275" s="3">
        <v>50</v>
      </c>
      <c r="B275" s="4" t="s">
        <v>452</v>
      </c>
      <c r="C275" s="4" t="s">
        <v>549</v>
      </c>
      <c r="D275" s="4" t="s">
        <v>552</v>
      </c>
      <c r="E275" s="6">
        <f t="shared" si="66"/>
        <v>0</v>
      </c>
      <c r="F275" s="6">
        <v>14535</v>
      </c>
      <c r="G275" s="7">
        <v>0</v>
      </c>
      <c r="H275" s="6">
        <v>15137</v>
      </c>
      <c r="I275" s="7">
        <f t="shared" si="9"/>
        <v>602</v>
      </c>
      <c r="J275" s="6">
        <v>0</v>
      </c>
      <c r="K275" s="6" t="s">
        <v>23</v>
      </c>
      <c r="L275" s="8">
        <v>0</v>
      </c>
      <c r="M275" s="8">
        <f t="shared" si="65"/>
        <v>4874</v>
      </c>
      <c r="N275" s="4" t="s">
        <v>24</v>
      </c>
      <c r="O275" s="6">
        <v>4</v>
      </c>
      <c r="P275" s="6">
        <v>200</v>
      </c>
      <c r="Q275" s="6">
        <v>7</v>
      </c>
      <c r="R275" s="4" t="s">
        <v>553</v>
      </c>
      <c r="S275" s="3">
        <v>1290</v>
      </c>
      <c r="T275" s="4" t="s">
        <v>177</v>
      </c>
    </row>
    <row r="276" spans="1:20" ht="14.4">
      <c r="A276" s="3">
        <v>51</v>
      </c>
      <c r="B276" s="4" t="s">
        <v>452</v>
      </c>
      <c r="C276" s="4" t="s">
        <v>549</v>
      </c>
      <c r="D276" s="4" t="s">
        <v>554</v>
      </c>
      <c r="E276" s="6">
        <f t="shared" si="66"/>
        <v>0</v>
      </c>
      <c r="F276" s="6">
        <v>0</v>
      </c>
      <c r="G276" s="7">
        <v>0</v>
      </c>
      <c r="H276" s="6">
        <v>0</v>
      </c>
      <c r="I276" s="7">
        <f t="shared" si="9"/>
        <v>0</v>
      </c>
      <c r="J276" s="6">
        <v>0</v>
      </c>
      <c r="K276" s="6">
        <v>0</v>
      </c>
      <c r="L276" s="8">
        <v>0</v>
      </c>
      <c r="M276" s="8">
        <v>0</v>
      </c>
      <c r="N276" s="4" t="s">
        <v>24</v>
      </c>
      <c r="O276" s="6">
        <v>4</v>
      </c>
      <c r="P276" s="6">
        <v>200</v>
      </c>
      <c r="Q276" s="6">
        <v>7</v>
      </c>
      <c r="R276" s="4" t="s">
        <v>555</v>
      </c>
      <c r="S276" s="3">
        <v>995</v>
      </c>
      <c r="T276" s="4" t="s">
        <v>186</v>
      </c>
    </row>
    <row r="277" spans="1:20" ht="14.4">
      <c r="A277" s="3">
        <v>52</v>
      </c>
      <c r="B277" s="4" t="s">
        <v>452</v>
      </c>
      <c r="C277" s="4" t="s">
        <v>549</v>
      </c>
      <c r="D277" s="4" t="s">
        <v>556</v>
      </c>
      <c r="E277" s="6">
        <f t="shared" si="66"/>
        <v>0</v>
      </c>
      <c r="F277" s="6">
        <v>0</v>
      </c>
      <c r="G277" s="7">
        <v>0</v>
      </c>
      <c r="H277" s="6">
        <v>0</v>
      </c>
      <c r="I277" s="7">
        <f t="shared" si="9"/>
        <v>0</v>
      </c>
      <c r="J277" s="6">
        <v>0</v>
      </c>
      <c r="K277" s="6">
        <v>0</v>
      </c>
      <c r="L277" s="8">
        <v>0</v>
      </c>
      <c r="M277" s="8">
        <v>0</v>
      </c>
      <c r="N277" s="4" t="s">
        <v>24</v>
      </c>
      <c r="O277" s="6">
        <v>4</v>
      </c>
      <c r="P277" s="6">
        <v>200</v>
      </c>
      <c r="Q277" s="6">
        <v>7</v>
      </c>
      <c r="R277" s="4"/>
      <c r="S277" s="3">
        <v>995</v>
      </c>
      <c r="T277" s="4" t="s">
        <v>186</v>
      </c>
    </row>
    <row r="278" spans="1:20" ht="14.4">
      <c r="A278" s="3">
        <v>53</v>
      </c>
      <c r="B278" s="4" t="s">
        <v>452</v>
      </c>
      <c r="C278" s="4" t="s">
        <v>549</v>
      </c>
      <c r="D278" s="4" t="s">
        <v>557</v>
      </c>
      <c r="E278" s="6">
        <f t="shared" si="66"/>
        <v>0</v>
      </c>
      <c r="F278" s="6">
        <v>900</v>
      </c>
      <c r="G278" s="7">
        <v>0</v>
      </c>
      <c r="H278" s="6">
        <v>905</v>
      </c>
      <c r="I278" s="7">
        <f t="shared" si="9"/>
        <v>5</v>
      </c>
      <c r="J278" s="6">
        <v>0</v>
      </c>
      <c r="K278" s="6">
        <v>0</v>
      </c>
      <c r="L278" s="8">
        <v>0</v>
      </c>
      <c r="M278" s="8">
        <f t="shared" ref="M278:M313" si="67">I278*Q278+P278+O278*115</f>
        <v>695</v>
      </c>
      <c r="N278" s="4" t="s">
        <v>24</v>
      </c>
      <c r="O278" s="6">
        <v>4</v>
      </c>
      <c r="P278" s="6">
        <v>200</v>
      </c>
      <c r="Q278" s="6">
        <v>7</v>
      </c>
      <c r="R278" s="4"/>
      <c r="S278" s="3">
        <v>995</v>
      </c>
      <c r="T278" s="4" t="s">
        <v>186</v>
      </c>
    </row>
    <row r="279" spans="1:20" ht="14.4">
      <c r="A279" s="3">
        <v>54</v>
      </c>
      <c r="B279" s="4" t="s">
        <v>452</v>
      </c>
      <c r="C279" s="4" t="s">
        <v>549</v>
      </c>
      <c r="D279" s="4" t="s">
        <v>558</v>
      </c>
      <c r="E279" s="6">
        <f t="shared" si="66"/>
        <v>0</v>
      </c>
      <c r="F279" s="6">
        <v>1067</v>
      </c>
      <c r="G279" s="7">
        <v>0</v>
      </c>
      <c r="H279" s="6">
        <v>1221</v>
      </c>
      <c r="I279" s="7">
        <f t="shared" si="9"/>
        <v>154</v>
      </c>
      <c r="J279" s="6">
        <v>0</v>
      </c>
      <c r="K279" s="6" t="s">
        <v>23</v>
      </c>
      <c r="L279" s="8">
        <v>0</v>
      </c>
      <c r="M279" s="8">
        <f t="shared" si="67"/>
        <v>1738</v>
      </c>
      <c r="N279" s="4" t="s">
        <v>24</v>
      </c>
      <c r="O279" s="6">
        <v>4</v>
      </c>
      <c r="P279" s="6">
        <v>200</v>
      </c>
      <c r="Q279" s="6">
        <v>7</v>
      </c>
      <c r="R279" s="4"/>
      <c r="S279" s="3">
        <v>995</v>
      </c>
      <c r="T279" s="4" t="s">
        <v>186</v>
      </c>
    </row>
    <row r="280" spans="1:20" ht="14.4">
      <c r="A280" s="3">
        <v>55</v>
      </c>
      <c r="B280" s="4" t="s">
        <v>452</v>
      </c>
      <c r="C280" s="4" t="s">
        <v>549</v>
      </c>
      <c r="D280" s="4" t="s">
        <v>559</v>
      </c>
      <c r="E280" s="6">
        <f t="shared" si="66"/>
        <v>0</v>
      </c>
      <c r="F280" s="6">
        <v>2670</v>
      </c>
      <c r="G280" s="7">
        <v>0</v>
      </c>
      <c r="H280" s="6">
        <v>2942</v>
      </c>
      <c r="I280" s="7">
        <f t="shared" si="9"/>
        <v>272</v>
      </c>
      <c r="J280" s="6">
        <v>0</v>
      </c>
      <c r="K280" s="6" t="s">
        <v>23</v>
      </c>
      <c r="L280" s="8">
        <v>0</v>
      </c>
      <c r="M280" s="8">
        <f t="shared" si="67"/>
        <v>2564</v>
      </c>
      <c r="N280" s="4" t="s">
        <v>24</v>
      </c>
      <c r="O280" s="6">
        <v>4</v>
      </c>
      <c r="P280" s="6">
        <v>200</v>
      </c>
      <c r="Q280" s="6">
        <v>7</v>
      </c>
      <c r="R280" s="4" t="s">
        <v>560</v>
      </c>
      <c r="S280" s="3">
        <v>995</v>
      </c>
      <c r="T280" s="4" t="s">
        <v>186</v>
      </c>
    </row>
    <row r="281" spans="1:20" ht="14.4">
      <c r="A281" s="3">
        <v>56</v>
      </c>
      <c r="B281" s="4" t="s">
        <v>452</v>
      </c>
      <c r="C281" s="4" t="s">
        <v>549</v>
      </c>
      <c r="D281" s="4" t="s">
        <v>561</v>
      </c>
      <c r="E281" s="6">
        <f t="shared" si="66"/>
        <v>0</v>
      </c>
      <c r="F281" s="6">
        <v>9409</v>
      </c>
      <c r="G281" s="7">
        <v>0</v>
      </c>
      <c r="H281" s="6">
        <v>9411</v>
      </c>
      <c r="I281" s="7">
        <f t="shared" si="9"/>
        <v>2</v>
      </c>
      <c r="J281" s="6">
        <v>0</v>
      </c>
      <c r="K281" s="6" t="s">
        <v>23</v>
      </c>
      <c r="L281" s="8">
        <v>0</v>
      </c>
      <c r="M281" s="8">
        <f t="shared" si="67"/>
        <v>674</v>
      </c>
      <c r="N281" s="4" t="s">
        <v>24</v>
      </c>
      <c r="O281" s="6">
        <v>4</v>
      </c>
      <c r="P281" s="6">
        <v>200</v>
      </c>
      <c r="Q281" s="6">
        <v>7</v>
      </c>
      <c r="R281" s="4" t="s">
        <v>562</v>
      </c>
      <c r="S281" s="3">
        <v>995</v>
      </c>
      <c r="T281" s="4" t="s">
        <v>186</v>
      </c>
    </row>
    <row r="282" spans="1:20" ht="14.4">
      <c r="A282" s="3">
        <v>57</v>
      </c>
      <c r="B282" s="4" t="s">
        <v>452</v>
      </c>
      <c r="C282" s="4" t="s">
        <v>563</v>
      </c>
      <c r="D282" s="4" t="s">
        <v>564</v>
      </c>
      <c r="E282" s="6">
        <f t="shared" si="66"/>
        <v>0</v>
      </c>
      <c r="F282" s="6">
        <v>3007</v>
      </c>
      <c r="G282" s="7">
        <v>0</v>
      </c>
      <c r="H282" s="6">
        <v>3363</v>
      </c>
      <c r="I282" s="7">
        <f t="shared" si="9"/>
        <v>356</v>
      </c>
      <c r="J282" s="6">
        <v>0</v>
      </c>
      <c r="K282" s="6" t="s">
        <v>23</v>
      </c>
      <c r="L282" s="8">
        <v>0</v>
      </c>
      <c r="M282" s="8">
        <f t="shared" si="67"/>
        <v>3152</v>
      </c>
      <c r="N282" s="4" t="s">
        <v>24</v>
      </c>
      <c r="O282" s="6">
        <v>4</v>
      </c>
      <c r="P282" s="6">
        <v>200</v>
      </c>
      <c r="Q282" s="6">
        <v>7</v>
      </c>
      <c r="R282" s="4" t="s">
        <v>565</v>
      </c>
      <c r="S282" s="3">
        <v>1290</v>
      </c>
      <c r="T282" s="4" t="s">
        <v>177</v>
      </c>
    </row>
    <row r="283" spans="1:20" ht="14.4">
      <c r="A283" s="3">
        <v>58</v>
      </c>
      <c r="B283" s="4" t="s">
        <v>452</v>
      </c>
      <c r="C283" s="4" t="s">
        <v>563</v>
      </c>
      <c r="D283" s="4" t="s">
        <v>566</v>
      </c>
      <c r="E283" s="6">
        <f t="shared" si="66"/>
        <v>0</v>
      </c>
      <c r="F283" s="6">
        <v>3582</v>
      </c>
      <c r="G283" s="7">
        <v>0</v>
      </c>
      <c r="H283" s="6">
        <v>3944</v>
      </c>
      <c r="I283" s="7">
        <f t="shared" si="9"/>
        <v>362</v>
      </c>
      <c r="J283" s="6">
        <v>0</v>
      </c>
      <c r="K283" s="6" t="s">
        <v>23</v>
      </c>
      <c r="L283" s="8">
        <v>0</v>
      </c>
      <c r="M283" s="8">
        <f t="shared" si="67"/>
        <v>3194</v>
      </c>
      <c r="N283" s="4" t="s">
        <v>24</v>
      </c>
      <c r="O283" s="6">
        <v>4</v>
      </c>
      <c r="P283" s="6">
        <v>200</v>
      </c>
      <c r="Q283" s="6">
        <v>7</v>
      </c>
      <c r="R283" s="4"/>
      <c r="S283" s="3">
        <v>1290</v>
      </c>
      <c r="T283" s="4" t="s">
        <v>177</v>
      </c>
    </row>
    <row r="284" spans="1:20" ht="14.4">
      <c r="A284" s="3">
        <v>59</v>
      </c>
      <c r="B284" s="4" t="s">
        <v>452</v>
      </c>
      <c r="C284" s="4" t="s">
        <v>563</v>
      </c>
      <c r="D284" s="4" t="s">
        <v>567</v>
      </c>
      <c r="E284" s="6">
        <f t="shared" si="66"/>
        <v>0</v>
      </c>
      <c r="F284" s="6">
        <v>3439</v>
      </c>
      <c r="G284" s="7">
        <v>0</v>
      </c>
      <c r="H284" s="6">
        <v>3834</v>
      </c>
      <c r="I284" s="7">
        <f t="shared" si="9"/>
        <v>395</v>
      </c>
      <c r="J284" s="6">
        <v>0</v>
      </c>
      <c r="K284" s="6" t="s">
        <v>23</v>
      </c>
      <c r="L284" s="8">
        <v>0</v>
      </c>
      <c r="M284" s="8">
        <f t="shared" si="67"/>
        <v>3425</v>
      </c>
      <c r="N284" s="4" t="s">
        <v>24</v>
      </c>
      <c r="O284" s="6">
        <v>4</v>
      </c>
      <c r="P284" s="6">
        <v>200</v>
      </c>
      <c r="Q284" s="6">
        <v>7</v>
      </c>
      <c r="R284" s="4" t="s">
        <v>568</v>
      </c>
      <c r="S284" s="3">
        <v>995</v>
      </c>
      <c r="T284" s="4" t="s">
        <v>186</v>
      </c>
    </row>
    <row r="285" spans="1:20" ht="14.4">
      <c r="A285" s="3">
        <v>60</v>
      </c>
      <c r="B285" s="4" t="s">
        <v>452</v>
      </c>
      <c r="C285" s="4" t="s">
        <v>563</v>
      </c>
      <c r="D285" s="4" t="s">
        <v>569</v>
      </c>
      <c r="E285" s="6">
        <f t="shared" si="66"/>
        <v>0</v>
      </c>
      <c r="F285" s="6">
        <v>12449</v>
      </c>
      <c r="G285" s="7">
        <v>0</v>
      </c>
      <c r="H285" s="6">
        <v>12808</v>
      </c>
      <c r="I285" s="7">
        <f t="shared" si="9"/>
        <v>359</v>
      </c>
      <c r="J285" s="6">
        <v>0</v>
      </c>
      <c r="K285" s="6" t="s">
        <v>23</v>
      </c>
      <c r="L285" s="8">
        <v>0</v>
      </c>
      <c r="M285" s="8">
        <f t="shared" si="67"/>
        <v>3173</v>
      </c>
      <c r="N285" s="4" t="s">
        <v>24</v>
      </c>
      <c r="O285" s="6">
        <v>4</v>
      </c>
      <c r="P285" s="6">
        <v>200</v>
      </c>
      <c r="Q285" s="6">
        <v>7</v>
      </c>
      <c r="R285" s="4" t="s">
        <v>570</v>
      </c>
      <c r="S285" s="3">
        <v>995</v>
      </c>
      <c r="T285" s="4" t="s">
        <v>186</v>
      </c>
    </row>
    <row r="286" spans="1:20" ht="14.4">
      <c r="A286" s="3">
        <v>61</v>
      </c>
      <c r="B286" s="4" t="s">
        <v>452</v>
      </c>
      <c r="C286" s="4" t="s">
        <v>563</v>
      </c>
      <c r="D286" s="4" t="s">
        <v>571</v>
      </c>
      <c r="E286" s="6">
        <f t="shared" si="66"/>
        <v>0</v>
      </c>
      <c r="F286" s="6">
        <v>621</v>
      </c>
      <c r="G286" s="7">
        <v>0</v>
      </c>
      <c r="H286" s="6">
        <v>815</v>
      </c>
      <c r="I286" s="7">
        <f t="shared" si="9"/>
        <v>194</v>
      </c>
      <c r="J286" s="6">
        <v>0</v>
      </c>
      <c r="K286" s="6" t="s">
        <v>23</v>
      </c>
      <c r="L286" s="8">
        <v>0</v>
      </c>
      <c r="M286" s="8">
        <f t="shared" si="67"/>
        <v>2018</v>
      </c>
      <c r="N286" s="4" t="s">
        <v>24</v>
      </c>
      <c r="O286" s="6">
        <v>4</v>
      </c>
      <c r="P286" s="6">
        <v>200</v>
      </c>
      <c r="Q286" s="6">
        <v>7</v>
      </c>
      <c r="R286" s="4" t="s">
        <v>572</v>
      </c>
      <c r="S286" s="3">
        <v>995</v>
      </c>
      <c r="T286" s="4" t="s">
        <v>186</v>
      </c>
    </row>
    <row r="287" spans="1:20" ht="14.4">
      <c r="A287" s="3">
        <v>62</v>
      </c>
      <c r="B287" s="4" t="s">
        <v>452</v>
      </c>
      <c r="C287" s="4" t="s">
        <v>563</v>
      </c>
      <c r="D287" s="4" t="s">
        <v>573</v>
      </c>
      <c r="E287" s="6">
        <f t="shared" si="66"/>
        <v>0</v>
      </c>
      <c r="F287" s="6">
        <v>8561</v>
      </c>
      <c r="G287" s="7">
        <v>0</v>
      </c>
      <c r="H287" s="6">
        <v>9536</v>
      </c>
      <c r="I287" s="7">
        <f t="shared" si="9"/>
        <v>975</v>
      </c>
      <c r="J287" s="6">
        <v>0</v>
      </c>
      <c r="K287" s="6">
        <v>0</v>
      </c>
      <c r="L287" s="8">
        <v>0</v>
      </c>
      <c r="M287" s="8">
        <f t="shared" si="67"/>
        <v>7485</v>
      </c>
      <c r="N287" s="4" t="s">
        <v>24</v>
      </c>
      <c r="O287" s="6">
        <v>4</v>
      </c>
      <c r="P287" s="6">
        <v>200</v>
      </c>
      <c r="Q287" s="6">
        <v>7</v>
      </c>
      <c r="R287" s="4" t="s">
        <v>574</v>
      </c>
      <c r="S287" s="3">
        <v>995</v>
      </c>
      <c r="T287" s="4" t="s">
        <v>186</v>
      </c>
    </row>
    <row r="288" spans="1:20" ht="14.4">
      <c r="A288" s="3">
        <v>63</v>
      </c>
      <c r="B288" s="4" t="s">
        <v>452</v>
      </c>
      <c r="C288" s="4" t="s">
        <v>563</v>
      </c>
      <c r="D288" s="4" t="s">
        <v>575</v>
      </c>
      <c r="E288" s="6">
        <f t="shared" si="66"/>
        <v>0</v>
      </c>
      <c r="F288" s="6">
        <v>7629</v>
      </c>
      <c r="G288" s="7">
        <v>0</v>
      </c>
      <c r="H288" s="6">
        <v>7962</v>
      </c>
      <c r="I288" s="7">
        <f t="shared" ref="I288:I486" si="68">H288-F288</f>
        <v>333</v>
      </c>
      <c r="J288" s="6">
        <v>0</v>
      </c>
      <c r="K288" s="6" t="s">
        <v>23</v>
      </c>
      <c r="L288" s="8">
        <v>0</v>
      </c>
      <c r="M288" s="8">
        <f t="shared" si="67"/>
        <v>2991</v>
      </c>
      <c r="N288" s="4" t="s">
        <v>24</v>
      </c>
      <c r="O288" s="6">
        <v>4</v>
      </c>
      <c r="P288" s="6">
        <v>200</v>
      </c>
      <c r="Q288" s="6">
        <v>7</v>
      </c>
      <c r="R288" s="4" t="s">
        <v>576</v>
      </c>
      <c r="S288" s="3">
        <v>995</v>
      </c>
      <c r="T288" s="4" t="s">
        <v>186</v>
      </c>
    </row>
    <row r="289" spans="1:20" ht="14.4">
      <c r="A289" s="3">
        <v>64</v>
      </c>
      <c r="B289" s="4" t="s">
        <v>452</v>
      </c>
      <c r="C289" s="4" t="s">
        <v>563</v>
      </c>
      <c r="D289" s="4" t="s">
        <v>577</v>
      </c>
      <c r="E289" s="6">
        <f t="shared" si="66"/>
        <v>0</v>
      </c>
      <c r="F289" s="6">
        <v>4921</v>
      </c>
      <c r="G289" s="7">
        <v>0</v>
      </c>
      <c r="H289" s="6">
        <v>5127</v>
      </c>
      <c r="I289" s="7">
        <f t="shared" si="68"/>
        <v>206</v>
      </c>
      <c r="J289" s="6">
        <v>0</v>
      </c>
      <c r="K289" s="6">
        <v>0</v>
      </c>
      <c r="L289" s="8">
        <v>0</v>
      </c>
      <c r="M289" s="8">
        <f t="shared" si="67"/>
        <v>2102</v>
      </c>
      <c r="N289" s="4" t="s">
        <v>24</v>
      </c>
      <c r="O289" s="6">
        <v>4</v>
      </c>
      <c r="P289" s="6">
        <v>200</v>
      </c>
      <c r="Q289" s="6">
        <v>7</v>
      </c>
      <c r="R289" s="4" t="s">
        <v>578</v>
      </c>
      <c r="S289" s="3">
        <v>995</v>
      </c>
      <c r="T289" s="4" t="s">
        <v>186</v>
      </c>
    </row>
    <row r="290" spans="1:20" ht="14.4">
      <c r="A290" s="3">
        <v>65</v>
      </c>
      <c r="B290" s="4" t="s">
        <v>452</v>
      </c>
      <c r="C290" s="4" t="s">
        <v>579</v>
      </c>
      <c r="D290" s="4" t="s">
        <v>580</v>
      </c>
      <c r="E290" s="6">
        <f t="shared" si="66"/>
        <v>0</v>
      </c>
      <c r="F290" s="6">
        <v>1150</v>
      </c>
      <c r="G290" s="7">
        <v>0</v>
      </c>
      <c r="H290" s="6">
        <v>1224</v>
      </c>
      <c r="I290" s="7">
        <f t="shared" si="68"/>
        <v>74</v>
      </c>
      <c r="J290" s="6">
        <v>0</v>
      </c>
      <c r="K290" s="6" t="s">
        <v>23</v>
      </c>
      <c r="L290" s="8">
        <v>0</v>
      </c>
      <c r="M290" s="8">
        <f t="shared" si="67"/>
        <v>1178</v>
      </c>
      <c r="N290" s="4" t="s">
        <v>24</v>
      </c>
      <c r="O290" s="6">
        <v>4</v>
      </c>
      <c r="P290" s="6">
        <v>200</v>
      </c>
      <c r="Q290" s="6">
        <v>7</v>
      </c>
      <c r="R290" s="4" t="s">
        <v>581</v>
      </c>
      <c r="S290" s="3">
        <v>1290</v>
      </c>
      <c r="T290" s="4" t="s">
        <v>177</v>
      </c>
    </row>
    <row r="291" spans="1:20" ht="14.4">
      <c r="A291" s="3">
        <v>66</v>
      </c>
      <c r="B291" s="4" t="s">
        <v>452</v>
      </c>
      <c r="C291" s="4" t="s">
        <v>579</v>
      </c>
      <c r="D291" s="4" t="s">
        <v>582</v>
      </c>
      <c r="E291" s="6">
        <f t="shared" si="66"/>
        <v>0</v>
      </c>
      <c r="F291" s="6">
        <v>3089</v>
      </c>
      <c r="G291" s="7">
        <v>0</v>
      </c>
      <c r="H291" s="6">
        <v>3366</v>
      </c>
      <c r="I291" s="7">
        <f t="shared" si="68"/>
        <v>277</v>
      </c>
      <c r="J291" s="6">
        <v>0</v>
      </c>
      <c r="K291" s="6" t="s">
        <v>23</v>
      </c>
      <c r="L291" s="8">
        <v>0</v>
      </c>
      <c r="M291" s="8">
        <f t="shared" si="67"/>
        <v>2599</v>
      </c>
      <c r="N291" s="4" t="s">
        <v>24</v>
      </c>
      <c r="O291" s="6">
        <v>4</v>
      </c>
      <c r="P291" s="6">
        <v>200</v>
      </c>
      <c r="Q291" s="6">
        <v>7</v>
      </c>
      <c r="R291" s="4" t="s">
        <v>583</v>
      </c>
      <c r="S291" s="3">
        <v>1290</v>
      </c>
      <c r="T291" s="4" t="s">
        <v>177</v>
      </c>
    </row>
    <row r="292" spans="1:20" ht="14.4">
      <c r="A292" s="3">
        <v>67</v>
      </c>
      <c r="B292" s="4" t="s">
        <v>452</v>
      </c>
      <c r="C292" s="4" t="s">
        <v>579</v>
      </c>
      <c r="D292" s="4" t="s">
        <v>584</v>
      </c>
      <c r="E292" s="6">
        <f t="shared" si="66"/>
        <v>0</v>
      </c>
      <c r="F292" s="6">
        <v>27754</v>
      </c>
      <c r="G292" s="7">
        <v>0</v>
      </c>
      <c r="H292" s="6">
        <v>28477</v>
      </c>
      <c r="I292" s="7">
        <f t="shared" si="68"/>
        <v>723</v>
      </c>
      <c r="J292" s="6">
        <v>0</v>
      </c>
      <c r="K292" s="6" t="s">
        <v>23</v>
      </c>
      <c r="L292" s="8">
        <v>0</v>
      </c>
      <c r="M292" s="8">
        <f t="shared" si="67"/>
        <v>5721</v>
      </c>
      <c r="N292" s="4" t="s">
        <v>24</v>
      </c>
      <c r="O292" s="6">
        <v>4</v>
      </c>
      <c r="P292" s="6">
        <v>200</v>
      </c>
      <c r="Q292" s="6">
        <v>7</v>
      </c>
      <c r="R292" s="4" t="s">
        <v>585</v>
      </c>
      <c r="S292" s="3">
        <v>995</v>
      </c>
      <c r="T292" s="4" t="s">
        <v>186</v>
      </c>
    </row>
    <row r="293" spans="1:20" ht="14.4">
      <c r="A293" s="3">
        <v>68</v>
      </c>
      <c r="B293" s="4" t="s">
        <v>452</v>
      </c>
      <c r="C293" s="4" t="s">
        <v>579</v>
      </c>
      <c r="D293" s="4" t="s">
        <v>586</v>
      </c>
      <c r="E293" s="6">
        <f t="shared" si="66"/>
        <v>0</v>
      </c>
      <c r="F293" s="6">
        <v>10049</v>
      </c>
      <c r="G293" s="7">
        <v>0</v>
      </c>
      <c r="H293" s="6">
        <v>10694</v>
      </c>
      <c r="I293" s="7">
        <f t="shared" si="68"/>
        <v>645</v>
      </c>
      <c r="J293" s="6">
        <v>0</v>
      </c>
      <c r="K293" s="6" t="s">
        <v>23</v>
      </c>
      <c r="L293" s="8">
        <v>0</v>
      </c>
      <c r="M293" s="8">
        <f t="shared" si="67"/>
        <v>5175</v>
      </c>
      <c r="N293" s="4" t="s">
        <v>24</v>
      </c>
      <c r="O293" s="6">
        <v>4</v>
      </c>
      <c r="P293" s="6">
        <v>200</v>
      </c>
      <c r="Q293" s="6">
        <v>7</v>
      </c>
      <c r="R293" s="4" t="s">
        <v>587</v>
      </c>
      <c r="S293" s="3">
        <v>995</v>
      </c>
      <c r="T293" s="4" t="s">
        <v>186</v>
      </c>
    </row>
    <row r="294" spans="1:20" ht="14.4">
      <c r="A294" s="3">
        <v>69</v>
      </c>
      <c r="B294" s="4" t="s">
        <v>452</v>
      </c>
      <c r="C294" s="4" t="s">
        <v>579</v>
      </c>
      <c r="D294" s="4" t="s">
        <v>588</v>
      </c>
      <c r="E294" s="6">
        <f t="shared" si="66"/>
        <v>0</v>
      </c>
      <c r="F294" s="6">
        <v>12808</v>
      </c>
      <c r="G294" s="7">
        <v>0</v>
      </c>
      <c r="H294" s="6">
        <v>13201</v>
      </c>
      <c r="I294" s="7">
        <f t="shared" si="68"/>
        <v>393</v>
      </c>
      <c r="J294" s="6">
        <v>0</v>
      </c>
      <c r="K294" s="6" t="s">
        <v>23</v>
      </c>
      <c r="L294" s="8">
        <v>0</v>
      </c>
      <c r="M294" s="8">
        <f t="shared" si="67"/>
        <v>3411</v>
      </c>
      <c r="N294" s="4" t="s">
        <v>24</v>
      </c>
      <c r="O294" s="6">
        <v>4</v>
      </c>
      <c r="P294" s="6">
        <v>200</v>
      </c>
      <c r="Q294" s="6">
        <v>7</v>
      </c>
      <c r="R294" s="4" t="s">
        <v>396</v>
      </c>
      <c r="S294" s="3">
        <v>995</v>
      </c>
      <c r="T294" s="4" t="s">
        <v>186</v>
      </c>
    </row>
    <row r="295" spans="1:20" ht="14.4">
      <c r="A295" s="3">
        <v>70</v>
      </c>
      <c r="B295" s="4" t="s">
        <v>452</v>
      </c>
      <c r="C295" s="4" t="s">
        <v>579</v>
      </c>
      <c r="D295" s="4" t="s">
        <v>589</v>
      </c>
      <c r="E295" s="6">
        <f t="shared" si="66"/>
        <v>0</v>
      </c>
      <c r="F295" s="6">
        <v>2006</v>
      </c>
      <c r="G295" s="7">
        <v>0</v>
      </c>
      <c r="H295" s="6">
        <v>2006</v>
      </c>
      <c r="I295" s="7">
        <f t="shared" si="68"/>
        <v>0</v>
      </c>
      <c r="J295" s="6">
        <v>0</v>
      </c>
      <c r="K295" s="6" t="s">
        <v>23</v>
      </c>
      <c r="L295" s="8">
        <v>0</v>
      </c>
      <c r="M295" s="8">
        <f t="shared" si="67"/>
        <v>660</v>
      </c>
      <c r="N295" s="4" t="s">
        <v>24</v>
      </c>
      <c r="O295" s="6">
        <v>4</v>
      </c>
      <c r="P295" s="6">
        <v>200</v>
      </c>
      <c r="Q295" s="6">
        <v>7</v>
      </c>
      <c r="R295" s="4" t="s">
        <v>590</v>
      </c>
      <c r="S295" s="3">
        <v>995</v>
      </c>
      <c r="T295" s="4" t="s">
        <v>186</v>
      </c>
    </row>
    <row r="296" spans="1:20" ht="14.4">
      <c r="A296" s="3">
        <v>71</v>
      </c>
      <c r="B296" s="4" t="s">
        <v>452</v>
      </c>
      <c r="C296" s="4" t="s">
        <v>579</v>
      </c>
      <c r="D296" s="4" t="s">
        <v>591</v>
      </c>
      <c r="E296" s="6">
        <f t="shared" si="66"/>
        <v>0</v>
      </c>
      <c r="F296" s="6">
        <v>15769</v>
      </c>
      <c r="G296" s="7">
        <v>0</v>
      </c>
      <c r="H296" s="6">
        <v>16037</v>
      </c>
      <c r="I296" s="7">
        <f t="shared" si="68"/>
        <v>268</v>
      </c>
      <c r="J296" s="6">
        <v>0</v>
      </c>
      <c r="K296" s="6" t="s">
        <v>23</v>
      </c>
      <c r="L296" s="8">
        <v>0</v>
      </c>
      <c r="M296" s="8">
        <f t="shared" si="67"/>
        <v>2536</v>
      </c>
      <c r="N296" s="4" t="s">
        <v>24</v>
      </c>
      <c r="O296" s="6">
        <v>4</v>
      </c>
      <c r="P296" s="6">
        <v>200</v>
      </c>
      <c r="Q296" s="6">
        <v>7</v>
      </c>
      <c r="R296" s="4" t="s">
        <v>592</v>
      </c>
      <c r="S296" s="3">
        <v>995</v>
      </c>
      <c r="T296" s="4" t="s">
        <v>186</v>
      </c>
    </row>
    <row r="297" spans="1:20" ht="14.4">
      <c r="A297" s="3">
        <v>72</v>
      </c>
      <c r="B297" s="4" t="s">
        <v>452</v>
      </c>
      <c r="C297" s="4" t="s">
        <v>579</v>
      </c>
      <c r="D297" s="4" t="s">
        <v>593</v>
      </c>
      <c r="E297" s="6">
        <f t="shared" si="66"/>
        <v>0</v>
      </c>
      <c r="F297" s="6">
        <v>1383</v>
      </c>
      <c r="G297" s="7">
        <v>0</v>
      </c>
      <c r="H297" s="6">
        <v>1557</v>
      </c>
      <c r="I297" s="7">
        <f t="shared" si="68"/>
        <v>174</v>
      </c>
      <c r="J297" s="6">
        <v>0</v>
      </c>
      <c r="K297" s="6" t="s">
        <v>23</v>
      </c>
      <c r="L297" s="8">
        <v>0</v>
      </c>
      <c r="M297" s="8">
        <f t="shared" si="67"/>
        <v>1878</v>
      </c>
      <c r="N297" s="4" t="s">
        <v>24</v>
      </c>
      <c r="O297" s="6">
        <v>4</v>
      </c>
      <c r="P297" s="6">
        <v>200</v>
      </c>
      <c r="Q297" s="6">
        <v>7</v>
      </c>
      <c r="R297" s="4" t="s">
        <v>594</v>
      </c>
      <c r="S297" s="3">
        <v>995</v>
      </c>
      <c r="T297" s="4" t="s">
        <v>186</v>
      </c>
    </row>
    <row r="298" spans="1:20" ht="14.4">
      <c r="A298" s="3">
        <v>73</v>
      </c>
      <c r="B298" s="4" t="s">
        <v>452</v>
      </c>
      <c r="C298" s="4" t="s">
        <v>595</v>
      </c>
      <c r="D298" s="4" t="s">
        <v>596</v>
      </c>
      <c r="E298" s="6">
        <f t="shared" si="66"/>
        <v>0</v>
      </c>
      <c r="F298" s="6">
        <v>17830</v>
      </c>
      <c r="G298" s="7">
        <v>0</v>
      </c>
      <c r="H298" s="6">
        <v>18715</v>
      </c>
      <c r="I298" s="7">
        <f t="shared" si="68"/>
        <v>885</v>
      </c>
      <c r="J298" s="6">
        <v>0</v>
      </c>
      <c r="K298" s="6" t="s">
        <v>23</v>
      </c>
      <c r="L298" s="8">
        <v>0</v>
      </c>
      <c r="M298" s="8">
        <f t="shared" si="67"/>
        <v>6855</v>
      </c>
      <c r="N298" s="4" t="s">
        <v>24</v>
      </c>
      <c r="O298" s="6">
        <v>4</v>
      </c>
      <c r="P298" s="6">
        <v>200</v>
      </c>
      <c r="Q298" s="6">
        <v>7</v>
      </c>
      <c r="R298" s="4" t="s">
        <v>597</v>
      </c>
      <c r="S298" s="3">
        <v>1290</v>
      </c>
      <c r="T298" s="4" t="s">
        <v>177</v>
      </c>
    </row>
    <row r="299" spans="1:20" ht="14.4">
      <c r="A299" s="3">
        <v>74</v>
      </c>
      <c r="B299" s="4" t="s">
        <v>452</v>
      </c>
      <c r="C299" s="4" t="s">
        <v>595</v>
      </c>
      <c r="D299" s="4" t="s">
        <v>598</v>
      </c>
      <c r="E299" s="6">
        <v>2739</v>
      </c>
      <c r="F299" s="6">
        <v>3026</v>
      </c>
      <c r="G299" s="7">
        <f t="shared" ref="G299:G300" si="69">F299-E299</f>
        <v>287</v>
      </c>
      <c r="H299" s="6">
        <v>3175</v>
      </c>
      <c r="I299" s="7">
        <f t="shared" si="68"/>
        <v>149</v>
      </c>
      <c r="J299" s="6" t="s">
        <v>23</v>
      </c>
      <c r="K299" s="6" t="s">
        <v>23</v>
      </c>
      <c r="L299" s="8">
        <f t="shared" ref="L299:L300" si="70">G299*Q299+P299+O299*115</f>
        <v>2669</v>
      </c>
      <c r="M299" s="8">
        <f t="shared" si="67"/>
        <v>1703</v>
      </c>
      <c r="N299" s="4" t="s">
        <v>24</v>
      </c>
      <c r="O299" s="6">
        <v>4</v>
      </c>
      <c r="P299" s="6">
        <v>200</v>
      </c>
      <c r="Q299" s="6">
        <v>7</v>
      </c>
      <c r="R299" s="4" t="s">
        <v>599</v>
      </c>
      <c r="S299" s="3">
        <v>1290</v>
      </c>
      <c r="T299" s="4" t="s">
        <v>177</v>
      </c>
    </row>
    <row r="300" spans="1:20" ht="14.4">
      <c r="A300" s="3">
        <v>75</v>
      </c>
      <c r="B300" s="4" t="s">
        <v>452</v>
      </c>
      <c r="C300" s="4" t="s">
        <v>595</v>
      </c>
      <c r="D300" s="4" t="s">
        <v>600</v>
      </c>
      <c r="E300" s="6">
        <v>11990</v>
      </c>
      <c r="F300" s="6">
        <v>12270</v>
      </c>
      <c r="G300" s="7">
        <f t="shared" si="69"/>
        <v>280</v>
      </c>
      <c r="H300" s="6">
        <v>12565</v>
      </c>
      <c r="I300" s="7">
        <f t="shared" si="68"/>
        <v>295</v>
      </c>
      <c r="J300" s="6" t="s">
        <v>23</v>
      </c>
      <c r="K300" s="6" t="s">
        <v>23</v>
      </c>
      <c r="L300" s="8">
        <f t="shared" si="70"/>
        <v>2620</v>
      </c>
      <c r="M300" s="8">
        <f t="shared" si="67"/>
        <v>2725</v>
      </c>
      <c r="N300" s="4" t="s">
        <v>24</v>
      </c>
      <c r="O300" s="6">
        <v>4</v>
      </c>
      <c r="P300" s="6">
        <v>200</v>
      </c>
      <c r="Q300" s="6">
        <v>7</v>
      </c>
      <c r="R300" s="4" t="s">
        <v>601</v>
      </c>
      <c r="S300" s="3">
        <v>995</v>
      </c>
      <c r="T300" s="4" t="s">
        <v>186</v>
      </c>
    </row>
    <row r="301" spans="1:20" ht="14.4">
      <c r="A301" s="3">
        <v>76</v>
      </c>
      <c r="B301" s="4" t="s">
        <v>452</v>
      </c>
      <c r="C301" s="4" t="s">
        <v>595</v>
      </c>
      <c r="D301" s="4" t="s">
        <v>602</v>
      </c>
      <c r="E301" s="6">
        <f t="shared" ref="E301:E303" si="71">J301</f>
        <v>0</v>
      </c>
      <c r="F301" s="6">
        <v>14861</v>
      </c>
      <c r="G301" s="7">
        <v>0</v>
      </c>
      <c r="H301" s="6">
        <v>15472</v>
      </c>
      <c r="I301" s="7">
        <f t="shared" si="68"/>
        <v>611</v>
      </c>
      <c r="J301" s="6">
        <v>0</v>
      </c>
      <c r="K301" s="6" t="s">
        <v>23</v>
      </c>
      <c r="L301" s="8">
        <v>0</v>
      </c>
      <c r="M301" s="8">
        <f t="shared" si="67"/>
        <v>4937</v>
      </c>
      <c r="N301" s="4" t="s">
        <v>24</v>
      </c>
      <c r="O301" s="6">
        <v>4</v>
      </c>
      <c r="P301" s="6">
        <v>200</v>
      </c>
      <c r="Q301" s="6">
        <v>7</v>
      </c>
      <c r="R301" s="4" t="s">
        <v>603</v>
      </c>
      <c r="S301" s="3">
        <v>995</v>
      </c>
      <c r="T301" s="4" t="s">
        <v>186</v>
      </c>
    </row>
    <row r="302" spans="1:20" ht="14.4">
      <c r="A302" s="3">
        <v>77</v>
      </c>
      <c r="B302" s="4" t="s">
        <v>452</v>
      </c>
      <c r="C302" s="4" t="s">
        <v>595</v>
      </c>
      <c r="D302" s="4" t="s">
        <v>604</v>
      </c>
      <c r="E302" s="6">
        <f t="shared" si="71"/>
        <v>0</v>
      </c>
      <c r="F302" s="6">
        <v>11139</v>
      </c>
      <c r="G302" s="7">
        <v>0</v>
      </c>
      <c r="H302" s="6">
        <v>11505</v>
      </c>
      <c r="I302" s="7">
        <f t="shared" si="68"/>
        <v>366</v>
      </c>
      <c r="J302" s="6">
        <v>0</v>
      </c>
      <c r="K302" s="6" t="s">
        <v>23</v>
      </c>
      <c r="L302" s="8">
        <v>0</v>
      </c>
      <c r="M302" s="8">
        <f t="shared" si="67"/>
        <v>3222</v>
      </c>
      <c r="N302" s="4" t="s">
        <v>24</v>
      </c>
      <c r="O302" s="6">
        <v>4</v>
      </c>
      <c r="P302" s="6">
        <v>200</v>
      </c>
      <c r="Q302" s="6">
        <v>7</v>
      </c>
      <c r="R302" s="4"/>
      <c r="S302" s="3">
        <v>995</v>
      </c>
      <c r="T302" s="4" t="s">
        <v>186</v>
      </c>
    </row>
    <row r="303" spans="1:20" ht="14.4">
      <c r="A303" s="3">
        <v>78</v>
      </c>
      <c r="B303" s="4" t="s">
        <v>452</v>
      </c>
      <c r="C303" s="4" t="s">
        <v>595</v>
      </c>
      <c r="D303" s="4" t="s">
        <v>605</v>
      </c>
      <c r="E303" s="6">
        <f t="shared" si="71"/>
        <v>0</v>
      </c>
      <c r="F303" s="6">
        <v>3378</v>
      </c>
      <c r="G303" s="7">
        <v>0</v>
      </c>
      <c r="H303" s="6">
        <v>3901</v>
      </c>
      <c r="I303" s="7">
        <f t="shared" si="68"/>
        <v>523</v>
      </c>
      <c r="J303" s="6">
        <v>0</v>
      </c>
      <c r="K303" s="6" t="s">
        <v>23</v>
      </c>
      <c r="L303" s="8">
        <v>0</v>
      </c>
      <c r="M303" s="8">
        <f t="shared" si="67"/>
        <v>4321</v>
      </c>
      <c r="N303" s="4" t="s">
        <v>24</v>
      </c>
      <c r="O303" s="6">
        <v>4</v>
      </c>
      <c r="P303" s="6">
        <v>200</v>
      </c>
      <c r="Q303" s="6">
        <v>7</v>
      </c>
      <c r="R303" s="4" t="s">
        <v>606</v>
      </c>
      <c r="S303" s="3">
        <v>995</v>
      </c>
      <c r="T303" s="4" t="s">
        <v>186</v>
      </c>
    </row>
    <row r="304" spans="1:20" ht="14.4">
      <c r="A304" s="3">
        <v>79</v>
      </c>
      <c r="B304" s="4" t="s">
        <v>452</v>
      </c>
      <c r="C304" s="4" t="s">
        <v>595</v>
      </c>
      <c r="D304" s="4" t="s">
        <v>607</v>
      </c>
      <c r="E304" s="6">
        <v>7526</v>
      </c>
      <c r="F304" s="6">
        <v>7592</v>
      </c>
      <c r="G304" s="7">
        <f t="shared" ref="G304:G305" si="72">F304-E304</f>
        <v>66</v>
      </c>
      <c r="H304" s="6">
        <v>7756</v>
      </c>
      <c r="I304" s="7">
        <f t="shared" si="68"/>
        <v>164</v>
      </c>
      <c r="J304" s="6" t="s">
        <v>23</v>
      </c>
      <c r="K304" s="6" t="s">
        <v>23</v>
      </c>
      <c r="L304" s="8">
        <f t="shared" ref="L304:L306" si="73">G304*Q304+P304+O304*115</f>
        <v>1122</v>
      </c>
      <c r="M304" s="8">
        <f t="shared" si="67"/>
        <v>1808</v>
      </c>
      <c r="N304" s="4" t="s">
        <v>24</v>
      </c>
      <c r="O304" s="6">
        <v>4</v>
      </c>
      <c r="P304" s="6">
        <v>200</v>
      </c>
      <c r="Q304" s="6">
        <v>7</v>
      </c>
      <c r="R304" s="4" t="s">
        <v>608</v>
      </c>
      <c r="S304" s="3">
        <v>995</v>
      </c>
      <c r="T304" s="4" t="s">
        <v>186</v>
      </c>
    </row>
    <row r="305" spans="1:20" ht="14.4">
      <c r="A305" s="3">
        <v>80</v>
      </c>
      <c r="B305" s="4" t="s">
        <v>452</v>
      </c>
      <c r="C305" s="4" t="s">
        <v>595</v>
      </c>
      <c r="D305" s="4" t="s">
        <v>609</v>
      </c>
      <c r="E305" s="6">
        <v>17448</v>
      </c>
      <c r="F305" s="6">
        <v>18075</v>
      </c>
      <c r="G305" s="7">
        <f t="shared" si="72"/>
        <v>627</v>
      </c>
      <c r="H305" s="6">
        <v>18552</v>
      </c>
      <c r="I305" s="7">
        <f t="shared" si="68"/>
        <v>477</v>
      </c>
      <c r="J305" s="6" t="s">
        <v>23</v>
      </c>
      <c r="K305" s="6" t="s">
        <v>23</v>
      </c>
      <c r="L305" s="8">
        <f t="shared" si="73"/>
        <v>5049</v>
      </c>
      <c r="M305" s="8">
        <f t="shared" si="67"/>
        <v>3999</v>
      </c>
      <c r="N305" s="4" t="s">
        <v>24</v>
      </c>
      <c r="O305" s="6">
        <v>4</v>
      </c>
      <c r="P305" s="6">
        <v>200</v>
      </c>
      <c r="Q305" s="6">
        <v>7</v>
      </c>
      <c r="R305" s="4" t="s">
        <v>610</v>
      </c>
      <c r="S305" s="3">
        <v>995</v>
      </c>
      <c r="T305" s="4" t="s">
        <v>186</v>
      </c>
    </row>
    <row r="306" spans="1:20" ht="14.4">
      <c r="A306" s="3">
        <v>81</v>
      </c>
      <c r="B306" s="4" t="s">
        <v>452</v>
      </c>
      <c r="C306" s="4" t="s">
        <v>611</v>
      </c>
      <c r="D306" s="4" t="s">
        <v>612</v>
      </c>
      <c r="E306" s="6">
        <v>0</v>
      </c>
      <c r="F306" s="6">
        <v>7790</v>
      </c>
      <c r="G306" s="7">
        <v>0</v>
      </c>
      <c r="H306" s="6">
        <v>7790</v>
      </c>
      <c r="I306" s="7">
        <f t="shared" si="68"/>
        <v>0</v>
      </c>
      <c r="J306" s="6" t="s">
        <v>23</v>
      </c>
      <c r="K306" s="6" t="s">
        <v>23</v>
      </c>
      <c r="L306" s="8">
        <f t="shared" si="73"/>
        <v>660</v>
      </c>
      <c r="M306" s="8">
        <f t="shared" si="67"/>
        <v>660</v>
      </c>
      <c r="N306" s="4" t="s">
        <v>24</v>
      </c>
      <c r="O306" s="6">
        <v>4</v>
      </c>
      <c r="P306" s="6">
        <v>200</v>
      </c>
      <c r="Q306" s="6">
        <v>7</v>
      </c>
      <c r="R306" s="4" t="s">
        <v>613</v>
      </c>
      <c r="S306" s="3">
        <v>1290</v>
      </c>
      <c r="T306" s="4" t="s">
        <v>177</v>
      </c>
    </row>
    <row r="307" spans="1:20" ht="14.4">
      <c r="A307" s="3">
        <v>82</v>
      </c>
      <c r="B307" s="4" t="s">
        <v>452</v>
      </c>
      <c r="C307" s="4" t="s">
        <v>611</v>
      </c>
      <c r="D307" s="4" t="s">
        <v>614</v>
      </c>
      <c r="E307" s="6">
        <f t="shared" ref="E307:E315" si="74">J307</f>
        <v>0</v>
      </c>
      <c r="F307" s="6">
        <v>22650</v>
      </c>
      <c r="G307" s="7">
        <v>0</v>
      </c>
      <c r="H307" s="6">
        <v>23242</v>
      </c>
      <c r="I307" s="7">
        <f t="shared" si="68"/>
        <v>592</v>
      </c>
      <c r="J307" s="6">
        <v>0</v>
      </c>
      <c r="K307" s="6" t="s">
        <v>23</v>
      </c>
      <c r="L307" s="8">
        <v>0</v>
      </c>
      <c r="M307" s="8">
        <f t="shared" si="67"/>
        <v>4804</v>
      </c>
      <c r="N307" s="4" t="s">
        <v>24</v>
      </c>
      <c r="O307" s="6">
        <v>4</v>
      </c>
      <c r="P307" s="6">
        <v>200</v>
      </c>
      <c r="Q307" s="6">
        <v>7</v>
      </c>
      <c r="R307" s="4" t="s">
        <v>615</v>
      </c>
      <c r="S307" s="3">
        <v>1290</v>
      </c>
      <c r="T307" s="4" t="s">
        <v>177</v>
      </c>
    </row>
    <row r="308" spans="1:20" ht="14.4">
      <c r="A308" s="3">
        <v>83</v>
      </c>
      <c r="B308" s="4" t="s">
        <v>452</v>
      </c>
      <c r="C308" s="4" t="s">
        <v>611</v>
      </c>
      <c r="D308" s="4" t="s">
        <v>616</v>
      </c>
      <c r="E308" s="6">
        <f t="shared" si="74"/>
        <v>0</v>
      </c>
      <c r="F308" s="6">
        <v>6898</v>
      </c>
      <c r="G308" s="7">
        <v>0</v>
      </c>
      <c r="H308" s="6">
        <v>7123</v>
      </c>
      <c r="I308" s="7">
        <f t="shared" si="68"/>
        <v>225</v>
      </c>
      <c r="J308" s="6">
        <v>0</v>
      </c>
      <c r="K308" s="6" t="s">
        <v>23</v>
      </c>
      <c r="L308" s="8">
        <v>0</v>
      </c>
      <c r="M308" s="8">
        <f t="shared" si="67"/>
        <v>2235</v>
      </c>
      <c r="N308" s="4" t="s">
        <v>24</v>
      </c>
      <c r="O308" s="6">
        <v>4</v>
      </c>
      <c r="P308" s="6">
        <v>200</v>
      </c>
      <c r="Q308" s="6">
        <v>7</v>
      </c>
      <c r="R308" s="4" t="s">
        <v>617</v>
      </c>
      <c r="S308" s="3">
        <v>995</v>
      </c>
      <c r="T308" s="4" t="s">
        <v>186</v>
      </c>
    </row>
    <row r="309" spans="1:20" ht="14.4">
      <c r="A309" s="3">
        <v>84</v>
      </c>
      <c r="B309" s="4" t="s">
        <v>452</v>
      </c>
      <c r="C309" s="4" t="s">
        <v>611</v>
      </c>
      <c r="D309" s="4" t="s">
        <v>618</v>
      </c>
      <c r="E309" s="6">
        <f t="shared" si="74"/>
        <v>0</v>
      </c>
      <c r="F309" s="6">
        <v>6380</v>
      </c>
      <c r="G309" s="7">
        <v>0</v>
      </c>
      <c r="H309" s="6">
        <v>6380</v>
      </c>
      <c r="I309" s="7">
        <f t="shared" si="68"/>
        <v>0</v>
      </c>
      <c r="J309" s="6">
        <v>0</v>
      </c>
      <c r="K309" s="6" t="s">
        <v>23</v>
      </c>
      <c r="L309" s="8">
        <v>0</v>
      </c>
      <c r="M309" s="8">
        <f t="shared" si="67"/>
        <v>660</v>
      </c>
      <c r="N309" s="4" t="s">
        <v>24</v>
      </c>
      <c r="O309" s="6">
        <v>4</v>
      </c>
      <c r="P309" s="6">
        <v>200</v>
      </c>
      <c r="Q309" s="6">
        <v>7</v>
      </c>
      <c r="R309" s="4" t="s">
        <v>619</v>
      </c>
      <c r="S309" s="3">
        <v>995</v>
      </c>
      <c r="T309" s="4" t="s">
        <v>186</v>
      </c>
    </row>
    <row r="310" spans="1:20" ht="14.4">
      <c r="A310" s="3">
        <v>85</v>
      </c>
      <c r="B310" s="4" t="s">
        <v>452</v>
      </c>
      <c r="C310" s="4" t="s">
        <v>611</v>
      </c>
      <c r="D310" s="4" t="s">
        <v>620</v>
      </c>
      <c r="E310" s="6">
        <f t="shared" si="74"/>
        <v>0</v>
      </c>
      <c r="F310" s="6">
        <v>2368</v>
      </c>
      <c r="G310" s="7">
        <v>0</v>
      </c>
      <c r="H310" s="6">
        <v>2370</v>
      </c>
      <c r="I310" s="7">
        <f t="shared" si="68"/>
        <v>2</v>
      </c>
      <c r="J310" s="6">
        <v>0</v>
      </c>
      <c r="K310" s="6" t="s">
        <v>23</v>
      </c>
      <c r="L310" s="8">
        <v>0</v>
      </c>
      <c r="M310" s="8">
        <f t="shared" si="67"/>
        <v>674</v>
      </c>
      <c r="N310" s="4" t="s">
        <v>24</v>
      </c>
      <c r="O310" s="6">
        <v>4</v>
      </c>
      <c r="P310" s="6">
        <v>200</v>
      </c>
      <c r="Q310" s="6">
        <v>7</v>
      </c>
      <c r="R310" s="4" t="s">
        <v>621</v>
      </c>
      <c r="S310" s="3">
        <v>995</v>
      </c>
      <c r="T310" s="4" t="s">
        <v>186</v>
      </c>
    </row>
    <row r="311" spans="1:20" ht="14.4">
      <c r="A311" s="3">
        <v>86</v>
      </c>
      <c r="B311" s="4" t="s">
        <v>452</v>
      </c>
      <c r="C311" s="4" t="s">
        <v>611</v>
      </c>
      <c r="D311" s="4" t="s">
        <v>622</v>
      </c>
      <c r="E311" s="6">
        <f t="shared" si="74"/>
        <v>0</v>
      </c>
      <c r="F311" s="6">
        <v>2432</v>
      </c>
      <c r="G311" s="7">
        <v>0</v>
      </c>
      <c r="H311" s="6">
        <v>2991</v>
      </c>
      <c r="I311" s="7">
        <f t="shared" si="68"/>
        <v>559</v>
      </c>
      <c r="J311" s="6">
        <v>0</v>
      </c>
      <c r="K311" s="6" t="s">
        <v>23</v>
      </c>
      <c r="L311" s="8">
        <v>0</v>
      </c>
      <c r="M311" s="8">
        <f t="shared" si="67"/>
        <v>4573</v>
      </c>
      <c r="N311" s="4" t="s">
        <v>24</v>
      </c>
      <c r="O311" s="6">
        <v>4</v>
      </c>
      <c r="P311" s="6">
        <v>200</v>
      </c>
      <c r="Q311" s="6">
        <v>7</v>
      </c>
      <c r="R311" s="4" t="s">
        <v>623</v>
      </c>
      <c r="S311" s="3">
        <v>995</v>
      </c>
      <c r="T311" s="4" t="s">
        <v>186</v>
      </c>
    </row>
    <row r="312" spans="1:20" ht="14.4">
      <c r="A312" s="3">
        <v>87</v>
      </c>
      <c r="B312" s="4" t="s">
        <v>452</v>
      </c>
      <c r="C312" s="4" t="s">
        <v>611</v>
      </c>
      <c r="D312" s="4" t="s">
        <v>624</v>
      </c>
      <c r="E312" s="6">
        <f t="shared" si="74"/>
        <v>0</v>
      </c>
      <c r="F312" s="6">
        <v>8650</v>
      </c>
      <c r="G312" s="7">
        <v>0</v>
      </c>
      <c r="H312" s="6">
        <v>8936</v>
      </c>
      <c r="I312" s="7">
        <f t="shared" si="68"/>
        <v>286</v>
      </c>
      <c r="J312" s="6">
        <v>0</v>
      </c>
      <c r="K312" s="6" t="s">
        <v>23</v>
      </c>
      <c r="L312" s="8">
        <v>0</v>
      </c>
      <c r="M312" s="8">
        <f t="shared" si="67"/>
        <v>2662</v>
      </c>
      <c r="N312" s="4" t="s">
        <v>24</v>
      </c>
      <c r="O312" s="6">
        <v>4</v>
      </c>
      <c r="P312" s="6">
        <v>200</v>
      </c>
      <c r="Q312" s="6">
        <v>7</v>
      </c>
      <c r="R312" s="4" t="s">
        <v>625</v>
      </c>
      <c r="S312" s="3">
        <v>995</v>
      </c>
      <c r="T312" s="4" t="s">
        <v>186</v>
      </c>
    </row>
    <row r="313" spans="1:20" ht="14.4">
      <c r="A313" s="3">
        <v>88</v>
      </c>
      <c r="B313" s="4" t="s">
        <v>452</v>
      </c>
      <c r="C313" s="4" t="s">
        <v>611</v>
      </c>
      <c r="D313" s="4" t="s">
        <v>626</v>
      </c>
      <c r="E313" s="6">
        <f t="shared" si="74"/>
        <v>0</v>
      </c>
      <c r="F313" s="6">
        <v>8979</v>
      </c>
      <c r="G313" s="7">
        <v>0</v>
      </c>
      <c r="H313" s="6">
        <v>9164</v>
      </c>
      <c r="I313" s="7">
        <f t="shared" si="68"/>
        <v>185</v>
      </c>
      <c r="J313" s="6">
        <v>0</v>
      </c>
      <c r="K313" s="6" t="s">
        <v>23</v>
      </c>
      <c r="L313" s="8">
        <v>0</v>
      </c>
      <c r="M313" s="8">
        <f t="shared" si="67"/>
        <v>1955</v>
      </c>
      <c r="N313" s="4" t="s">
        <v>24</v>
      </c>
      <c r="O313" s="6">
        <v>4</v>
      </c>
      <c r="P313" s="6">
        <v>200</v>
      </c>
      <c r="Q313" s="6">
        <v>7</v>
      </c>
      <c r="R313" s="4" t="s">
        <v>627</v>
      </c>
      <c r="S313" s="3">
        <v>995</v>
      </c>
      <c r="T313" s="4" t="s">
        <v>186</v>
      </c>
    </row>
    <row r="314" spans="1:20" ht="14.4">
      <c r="A314" s="3">
        <v>89</v>
      </c>
      <c r="B314" s="4" t="s">
        <v>452</v>
      </c>
      <c r="C314" s="4" t="s">
        <v>628</v>
      </c>
      <c r="D314" s="4" t="s">
        <v>629</v>
      </c>
      <c r="E314" s="6">
        <f t="shared" si="74"/>
        <v>0</v>
      </c>
      <c r="F314" s="6">
        <v>0</v>
      </c>
      <c r="G314" s="7">
        <v>0</v>
      </c>
      <c r="H314" s="6">
        <v>0</v>
      </c>
      <c r="I314" s="7">
        <f t="shared" si="68"/>
        <v>0</v>
      </c>
      <c r="J314" s="6">
        <v>0</v>
      </c>
      <c r="K314" s="6">
        <v>0</v>
      </c>
      <c r="L314" s="8">
        <v>0</v>
      </c>
      <c r="M314" s="8">
        <v>0</v>
      </c>
      <c r="N314" s="4" t="s">
        <v>24</v>
      </c>
      <c r="O314" s="6">
        <v>4</v>
      </c>
      <c r="P314" s="6">
        <v>200</v>
      </c>
      <c r="Q314" s="6">
        <v>7</v>
      </c>
      <c r="R314" s="4"/>
      <c r="S314" s="3">
        <v>1290</v>
      </c>
      <c r="T314" s="4" t="s">
        <v>177</v>
      </c>
    </row>
    <row r="315" spans="1:20" ht="14.4">
      <c r="A315" s="3">
        <v>90</v>
      </c>
      <c r="B315" s="4" t="s">
        <v>452</v>
      </c>
      <c r="C315" s="4" t="s">
        <v>628</v>
      </c>
      <c r="D315" s="4" t="s">
        <v>630</v>
      </c>
      <c r="E315" s="6">
        <f t="shared" si="74"/>
        <v>0</v>
      </c>
      <c r="F315" s="6">
        <v>0</v>
      </c>
      <c r="G315" s="7">
        <v>0</v>
      </c>
      <c r="H315" s="6">
        <v>0</v>
      </c>
      <c r="I315" s="7">
        <f t="shared" si="68"/>
        <v>0</v>
      </c>
      <c r="J315" s="6">
        <v>0</v>
      </c>
      <c r="K315" s="6">
        <v>0</v>
      </c>
      <c r="L315" s="8">
        <v>0</v>
      </c>
      <c r="M315" s="8">
        <v>0</v>
      </c>
      <c r="N315" s="4" t="s">
        <v>24</v>
      </c>
      <c r="O315" s="6">
        <v>4</v>
      </c>
      <c r="P315" s="6">
        <v>200</v>
      </c>
      <c r="Q315" s="6">
        <v>7</v>
      </c>
      <c r="R315" s="4"/>
      <c r="S315" s="3">
        <v>1290</v>
      </c>
      <c r="T315" s="4" t="s">
        <v>177</v>
      </c>
    </row>
    <row r="316" spans="1:20" ht="14.4">
      <c r="A316" s="3">
        <v>91</v>
      </c>
      <c r="B316" s="4" t="s">
        <v>452</v>
      </c>
      <c r="C316" s="4" t="s">
        <v>628</v>
      </c>
      <c r="D316" s="4" t="s">
        <v>631</v>
      </c>
      <c r="E316" s="6">
        <v>10189</v>
      </c>
      <c r="F316" s="6">
        <v>10406</v>
      </c>
      <c r="G316" s="7">
        <f>F316-E316</f>
        <v>217</v>
      </c>
      <c r="H316" s="6">
        <v>10517</v>
      </c>
      <c r="I316" s="7">
        <f t="shared" si="68"/>
        <v>111</v>
      </c>
      <c r="J316" s="6" t="s">
        <v>23</v>
      </c>
      <c r="K316" s="6" t="s">
        <v>23</v>
      </c>
      <c r="L316" s="8">
        <f>G316*Q316+P316+O316*115</f>
        <v>2179</v>
      </c>
      <c r="M316" s="8">
        <f t="shared" ref="M316:M329" si="75">I316*Q316+P316+O316*115</f>
        <v>1437</v>
      </c>
      <c r="N316" s="4" t="s">
        <v>24</v>
      </c>
      <c r="O316" s="6">
        <v>4</v>
      </c>
      <c r="P316" s="6">
        <v>200</v>
      </c>
      <c r="Q316" s="6">
        <v>7</v>
      </c>
      <c r="R316" s="4" t="s">
        <v>632</v>
      </c>
      <c r="S316" s="3">
        <v>995</v>
      </c>
      <c r="T316" s="4" t="s">
        <v>186</v>
      </c>
    </row>
    <row r="317" spans="1:20" ht="14.4">
      <c r="A317" s="3">
        <v>92</v>
      </c>
      <c r="B317" s="4" t="s">
        <v>452</v>
      </c>
      <c r="C317" s="4" t="s">
        <v>628</v>
      </c>
      <c r="D317" s="4" t="s">
        <v>633</v>
      </c>
      <c r="E317" s="6">
        <f>J317</f>
        <v>0</v>
      </c>
      <c r="F317" s="6">
        <v>2172</v>
      </c>
      <c r="G317" s="7">
        <v>0</v>
      </c>
      <c r="H317" s="6">
        <v>2317</v>
      </c>
      <c r="I317" s="7">
        <f t="shared" si="68"/>
        <v>145</v>
      </c>
      <c r="J317" s="6">
        <v>0</v>
      </c>
      <c r="K317" s="6">
        <v>0</v>
      </c>
      <c r="L317" s="8">
        <v>0</v>
      </c>
      <c r="M317" s="8">
        <f t="shared" si="75"/>
        <v>1675</v>
      </c>
      <c r="N317" s="4" t="s">
        <v>24</v>
      </c>
      <c r="O317" s="6">
        <v>4</v>
      </c>
      <c r="P317" s="6">
        <v>200</v>
      </c>
      <c r="Q317" s="6">
        <v>7</v>
      </c>
      <c r="R317" s="4" t="s">
        <v>634</v>
      </c>
      <c r="S317" s="3">
        <v>995</v>
      </c>
      <c r="T317" s="4" t="s">
        <v>186</v>
      </c>
    </row>
    <row r="318" spans="1:20" ht="14.4">
      <c r="A318" s="3">
        <v>93</v>
      </c>
      <c r="B318" s="4" t="s">
        <v>452</v>
      </c>
      <c r="C318" s="4" t="s">
        <v>628</v>
      </c>
      <c r="D318" s="4" t="s">
        <v>635</v>
      </c>
      <c r="E318" s="6">
        <v>15457</v>
      </c>
      <c r="F318" s="6">
        <v>16195</v>
      </c>
      <c r="G318" s="7">
        <f t="shared" ref="G318:G320" si="76">F318-E318</f>
        <v>738</v>
      </c>
      <c r="H318" s="6">
        <v>16589</v>
      </c>
      <c r="I318" s="7">
        <f t="shared" si="68"/>
        <v>394</v>
      </c>
      <c r="J318" s="6" t="s">
        <v>23</v>
      </c>
      <c r="K318" s="6" t="s">
        <v>23</v>
      </c>
      <c r="L318" s="8">
        <f t="shared" ref="L318:L320" si="77">G318*Q318+P318+O318*115</f>
        <v>5826</v>
      </c>
      <c r="M318" s="8">
        <f t="shared" si="75"/>
        <v>3418</v>
      </c>
      <c r="N318" s="4" t="s">
        <v>24</v>
      </c>
      <c r="O318" s="6">
        <v>4</v>
      </c>
      <c r="P318" s="6">
        <v>200</v>
      </c>
      <c r="Q318" s="6">
        <v>7</v>
      </c>
      <c r="R318" s="4" t="s">
        <v>636</v>
      </c>
      <c r="S318" s="3">
        <v>995</v>
      </c>
      <c r="T318" s="4" t="s">
        <v>186</v>
      </c>
    </row>
    <row r="319" spans="1:20" ht="14.4">
      <c r="A319" s="3">
        <v>94</v>
      </c>
      <c r="B319" s="4" t="s">
        <v>452</v>
      </c>
      <c r="C319" s="4" t="s">
        <v>628</v>
      </c>
      <c r="D319" s="4" t="s">
        <v>637</v>
      </c>
      <c r="E319" s="6">
        <v>7254</v>
      </c>
      <c r="F319" s="6">
        <v>7777</v>
      </c>
      <c r="G319" s="7">
        <f t="shared" si="76"/>
        <v>523</v>
      </c>
      <c r="H319" s="6">
        <v>8076</v>
      </c>
      <c r="I319" s="7">
        <f t="shared" si="68"/>
        <v>299</v>
      </c>
      <c r="J319" s="6" t="s">
        <v>23</v>
      </c>
      <c r="K319" s="6" t="s">
        <v>23</v>
      </c>
      <c r="L319" s="8">
        <f t="shared" si="77"/>
        <v>4321</v>
      </c>
      <c r="M319" s="8">
        <f t="shared" si="75"/>
        <v>2753</v>
      </c>
      <c r="N319" s="4" t="s">
        <v>24</v>
      </c>
      <c r="O319" s="6">
        <v>4</v>
      </c>
      <c r="P319" s="6">
        <v>200</v>
      </c>
      <c r="Q319" s="6">
        <v>7</v>
      </c>
      <c r="R319" s="4" t="s">
        <v>638</v>
      </c>
      <c r="S319" s="3">
        <v>995</v>
      </c>
      <c r="T319" s="4" t="s">
        <v>186</v>
      </c>
    </row>
    <row r="320" spans="1:20" ht="14.4">
      <c r="A320" s="3">
        <v>95</v>
      </c>
      <c r="B320" s="4" t="s">
        <v>452</v>
      </c>
      <c r="C320" s="4" t="s">
        <v>628</v>
      </c>
      <c r="D320" s="4" t="s">
        <v>639</v>
      </c>
      <c r="E320" s="6">
        <v>9018</v>
      </c>
      <c r="F320" s="6">
        <v>9801</v>
      </c>
      <c r="G320" s="7">
        <f t="shared" si="76"/>
        <v>783</v>
      </c>
      <c r="H320" s="6">
        <v>10324</v>
      </c>
      <c r="I320" s="7">
        <f t="shared" si="68"/>
        <v>523</v>
      </c>
      <c r="J320" s="6" t="s">
        <v>23</v>
      </c>
      <c r="K320" s="6" t="s">
        <v>23</v>
      </c>
      <c r="L320" s="8">
        <f t="shared" si="77"/>
        <v>6141</v>
      </c>
      <c r="M320" s="8">
        <f t="shared" si="75"/>
        <v>4321</v>
      </c>
      <c r="N320" s="4" t="s">
        <v>24</v>
      </c>
      <c r="O320" s="6">
        <v>4</v>
      </c>
      <c r="P320" s="6">
        <v>200</v>
      </c>
      <c r="Q320" s="6">
        <v>7</v>
      </c>
      <c r="R320" s="4" t="s">
        <v>640</v>
      </c>
      <c r="S320" s="3">
        <v>995</v>
      </c>
      <c r="T320" s="4" t="s">
        <v>186</v>
      </c>
    </row>
    <row r="321" spans="1:20" ht="14.4">
      <c r="A321" s="3">
        <v>96</v>
      </c>
      <c r="B321" s="4" t="s">
        <v>452</v>
      </c>
      <c r="C321" s="4" t="s">
        <v>628</v>
      </c>
      <c r="D321" s="4" t="s">
        <v>641</v>
      </c>
      <c r="E321" s="6">
        <f t="shared" ref="E321:E322" si="78">J321</f>
        <v>0</v>
      </c>
      <c r="F321" s="6">
        <v>4804</v>
      </c>
      <c r="G321" s="7">
        <v>0</v>
      </c>
      <c r="H321" s="6">
        <v>5361</v>
      </c>
      <c r="I321" s="7">
        <f t="shared" si="68"/>
        <v>557</v>
      </c>
      <c r="J321" s="6">
        <v>0</v>
      </c>
      <c r="K321" s="6" t="s">
        <v>23</v>
      </c>
      <c r="L321" s="8">
        <v>0</v>
      </c>
      <c r="M321" s="8">
        <f t="shared" si="75"/>
        <v>4559</v>
      </c>
      <c r="N321" s="4" t="s">
        <v>24</v>
      </c>
      <c r="O321" s="6">
        <v>4</v>
      </c>
      <c r="P321" s="6">
        <v>200</v>
      </c>
      <c r="Q321" s="6">
        <v>7</v>
      </c>
      <c r="R321" s="4" t="s">
        <v>642</v>
      </c>
      <c r="S321" s="3">
        <v>995</v>
      </c>
      <c r="T321" s="4" t="s">
        <v>186</v>
      </c>
    </row>
    <row r="322" spans="1:20" ht="14.4">
      <c r="A322" s="3">
        <v>97</v>
      </c>
      <c r="B322" s="4" t="s">
        <v>452</v>
      </c>
      <c r="C322" s="4" t="s">
        <v>643</v>
      </c>
      <c r="D322" s="4" t="s">
        <v>644</v>
      </c>
      <c r="E322" s="6">
        <f t="shared" si="78"/>
        <v>0</v>
      </c>
      <c r="F322" s="6">
        <v>6733</v>
      </c>
      <c r="G322" s="7">
        <v>0</v>
      </c>
      <c r="H322" s="6">
        <v>7288</v>
      </c>
      <c r="I322" s="7">
        <f t="shared" si="68"/>
        <v>555</v>
      </c>
      <c r="J322" s="6">
        <v>0</v>
      </c>
      <c r="K322" s="6" t="s">
        <v>23</v>
      </c>
      <c r="L322" s="8">
        <v>0</v>
      </c>
      <c r="M322" s="8">
        <f t="shared" si="75"/>
        <v>4545</v>
      </c>
      <c r="N322" s="4" t="s">
        <v>24</v>
      </c>
      <c r="O322" s="6">
        <v>4</v>
      </c>
      <c r="P322" s="6">
        <v>200</v>
      </c>
      <c r="Q322" s="6">
        <v>7</v>
      </c>
      <c r="R322" s="4" t="s">
        <v>645</v>
      </c>
      <c r="S322" s="3">
        <v>1290</v>
      </c>
      <c r="T322" s="4" t="s">
        <v>177</v>
      </c>
    </row>
    <row r="323" spans="1:20" ht="14.4">
      <c r="A323" s="3">
        <v>98</v>
      </c>
      <c r="B323" s="4" t="s">
        <v>452</v>
      </c>
      <c r="C323" s="4" t="s">
        <v>643</v>
      </c>
      <c r="D323" s="4" t="s">
        <v>646</v>
      </c>
      <c r="E323" s="6">
        <v>4030</v>
      </c>
      <c r="F323" s="6">
        <v>4360</v>
      </c>
      <c r="G323" s="7">
        <f>F323-E323</f>
        <v>330</v>
      </c>
      <c r="H323" s="6">
        <v>4638</v>
      </c>
      <c r="I323" s="7">
        <f t="shared" si="68"/>
        <v>278</v>
      </c>
      <c r="J323" s="6" t="s">
        <v>23</v>
      </c>
      <c r="K323" s="6" t="s">
        <v>23</v>
      </c>
      <c r="L323" s="8">
        <f>G323*Q323+P323+O323*115</f>
        <v>2970</v>
      </c>
      <c r="M323" s="8">
        <f t="shared" si="75"/>
        <v>2606</v>
      </c>
      <c r="N323" s="4" t="s">
        <v>24</v>
      </c>
      <c r="O323" s="6">
        <v>4</v>
      </c>
      <c r="P323" s="6">
        <v>200</v>
      </c>
      <c r="Q323" s="6">
        <v>7</v>
      </c>
      <c r="R323" s="4" t="s">
        <v>647</v>
      </c>
      <c r="S323" s="3">
        <v>1290</v>
      </c>
      <c r="T323" s="4" t="s">
        <v>177</v>
      </c>
    </row>
    <row r="324" spans="1:20" ht="14.4">
      <c r="A324" s="3">
        <v>99</v>
      </c>
      <c r="B324" s="4" t="s">
        <v>452</v>
      </c>
      <c r="C324" s="4" t="s">
        <v>643</v>
      </c>
      <c r="D324" s="4" t="s">
        <v>648</v>
      </c>
      <c r="E324" s="6">
        <f t="shared" ref="E324:E353" si="79">J324</f>
        <v>0</v>
      </c>
      <c r="F324" s="6">
        <v>4851</v>
      </c>
      <c r="G324" s="7">
        <v>0</v>
      </c>
      <c r="H324" s="6">
        <v>5225</v>
      </c>
      <c r="I324" s="7">
        <f t="shared" si="68"/>
        <v>374</v>
      </c>
      <c r="J324" s="6">
        <v>0</v>
      </c>
      <c r="K324" s="6" t="s">
        <v>23</v>
      </c>
      <c r="L324" s="8">
        <v>0</v>
      </c>
      <c r="M324" s="8">
        <f t="shared" si="75"/>
        <v>3278</v>
      </c>
      <c r="N324" s="4" t="s">
        <v>24</v>
      </c>
      <c r="O324" s="6">
        <v>4</v>
      </c>
      <c r="P324" s="6">
        <v>200</v>
      </c>
      <c r="Q324" s="6">
        <v>7</v>
      </c>
      <c r="R324" s="4" t="s">
        <v>649</v>
      </c>
      <c r="S324" s="3">
        <v>995</v>
      </c>
      <c r="T324" s="4" t="s">
        <v>186</v>
      </c>
    </row>
    <row r="325" spans="1:20" ht="14.4">
      <c r="A325" s="3">
        <v>100</v>
      </c>
      <c r="B325" s="4" t="s">
        <v>452</v>
      </c>
      <c r="C325" s="4" t="s">
        <v>643</v>
      </c>
      <c r="D325" s="4" t="s">
        <v>650</v>
      </c>
      <c r="E325" s="6">
        <f t="shared" si="79"/>
        <v>0</v>
      </c>
      <c r="F325" s="6">
        <v>5491</v>
      </c>
      <c r="G325" s="7">
        <v>0</v>
      </c>
      <c r="H325" s="6">
        <v>5544</v>
      </c>
      <c r="I325" s="7">
        <f t="shared" si="68"/>
        <v>53</v>
      </c>
      <c r="J325" s="6">
        <v>0</v>
      </c>
      <c r="K325" s="6" t="s">
        <v>23</v>
      </c>
      <c r="L325" s="8">
        <v>0</v>
      </c>
      <c r="M325" s="8">
        <f t="shared" si="75"/>
        <v>1031</v>
      </c>
      <c r="N325" s="4" t="s">
        <v>24</v>
      </c>
      <c r="O325" s="6">
        <v>4</v>
      </c>
      <c r="P325" s="6">
        <v>200</v>
      </c>
      <c r="Q325" s="6">
        <v>7</v>
      </c>
      <c r="R325" s="4" t="s">
        <v>651</v>
      </c>
      <c r="S325" s="3">
        <v>995</v>
      </c>
      <c r="T325" s="4" t="s">
        <v>186</v>
      </c>
    </row>
    <row r="326" spans="1:20" ht="14.4">
      <c r="A326" s="3">
        <v>101</v>
      </c>
      <c r="B326" s="4" t="s">
        <v>452</v>
      </c>
      <c r="C326" s="4" t="s">
        <v>643</v>
      </c>
      <c r="D326" s="4" t="s">
        <v>652</v>
      </c>
      <c r="E326" s="6">
        <f t="shared" si="79"/>
        <v>0</v>
      </c>
      <c r="F326" s="6">
        <v>13218</v>
      </c>
      <c r="G326" s="7">
        <v>0</v>
      </c>
      <c r="H326" s="6">
        <v>13588</v>
      </c>
      <c r="I326" s="7">
        <f t="shared" si="68"/>
        <v>370</v>
      </c>
      <c r="J326" s="6">
        <v>0</v>
      </c>
      <c r="K326" s="6" t="s">
        <v>23</v>
      </c>
      <c r="L326" s="8">
        <v>0</v>
      </c>
      <c r="M326" s="8">
        <f t="shared" si="75"/>
        <v>3250</v>
      </c>
      <c r="N326" s="4" t="s">
        <v>24</v>
      </c>
      <c r="O326" s="6">
        <v>4</v>
      </c>
      <c r="P326" s="6">
        <v>200</v>
      </c>
      <c r="Q326" s="6">
        <v>7</v>
      </c>
      <c r="R326" s="4" t="s">
        <v>653</v>
      </c>
      <c r="S326" s="3">
        <v>995</v>
      </c>
      <c r="T326" s="4" t="s">
        <v>186</v>
      </c>
    </row>
    <row r="327" spans="1:20" ht="14.4">
      <c r="A327" s="3">
        <v>102</v>
      </c>
      <c r="B327" s="4" t="s">
        <v>452</v>
      </c>
      <c r="C327" s="4" t="s">
        <v>643</v>
      </c>
      <c r="D327" s="4" t="s">
        <v>654</v>
      </c>
      <c r="E327" s="6">
        <f t="shared" si="79"/>
        <v>0</v>
      </c>
      <c r="F327" s="6">
        <v>7337</v>
      </c>
      <c r="G327" s="7">
        <v>0</v>
      </c>
      <c r="H327" s="6">
        <v>7885</v>
      </c>
      <c r="I327" s="7">
        <f t="shared" si="68"/>
        <v>548</v>
      </c>
      <c r="J327" s="6">
        <v>0</v>
      </c>
      <c r="K327" s="6">
        <v>0</v>
      </c>
      <c r="L327" s="8">
        <v>0</v>
      </c>
      <c r="M327" s="8">
        <f t="shared" si="75"/>
        <v>4496</v>
      </c>
      <c r="N327" s="4" t="s">
        <v>24</v>
      </c>
      <c r="O327" s="6">
        <v>4</v>
      </c>
      <c r="P327" s="6">
        <v>200</v>
      </c>
      <c r="Q327" s="6">
        <v>7</v>
      </c>
      <c r="R327" s="4" t="s">
        <v>655</v>
      </c>
      <c r="S327" s="3">
        <v>995</v>
      </c>
      <c r="T327" s="4" t="s">
        <v>186</v>
      </c>
    </row>
    <row r="328" spans="1:20" ht="14.4">
      <c r="A328" s="3">
        <v>103</v>
      </c>
      <c r="B328" s="4" t="s">
        <v>452</v>
      </c>
      <c r="C328" s="4" t="s">
        <v>643</v>
      </c>
      <c r="D328" s="4" t="s">
        <v>656</v>
      </c>
      <c r="E328" s="6">
        <f t="shared" si="79"/>
        <v>0</v>
      </c>
      <c r="F328" s="6">
        <v>4647</v>
      </c>
      <c r="G328" s="7">
        <v>0</v>
      </c>
      <c r="H328" s="6">
        <v>4936</v>
      </c>
      <c r="I328" s="7">
        <f t="shared" si="68"/>
        <v>289</v>
      </c>
      <c r="J328" s="6">
        <v>0</v>
      </c>
      <c r="K328" s="6">
        <v>0</v>
      </c>
      <c r="L328" s="8">
        <v>0</v>
      </c>
      <c r="M328" s="8">
        <f t="shared" si="75"/>
        <v>2683</v>
      </c>
      <c r="N328" s="4" t="s">
        <v>24</v>
      </c>
      <c r="O328" s="6">
        <v>4</v>
      </c>
      <c r="P328" s="6">
        <v>200</v>
      </c>
      <c r="Q328" s="6">
        <v>7</v>
      </c>
      <c r="R328" s="4" t="s">
        <v>657</v>
      </c>
      <c r="S328" s="3">
        <v>995</v>
      </c>
      <c r="T328" s="4" t="s">
        <v>186</v>
      </c>
    </row>
    <row r="329" spans="1:20" ht="14.4">
      <c r="A329" s="3">
        <v>104</v>
      </c>
      <c r="B329" s="4" t="s">
        <v>452</v>
      </c>
      <c r="C329" s="4" t="s">
        <v>643</v>
      </c>
      <c r="D329" s="4" t="s">
        <v>658</v>
      </c>
      <c r="E329" s="6">
        <f t="shared" si="79"/>
        <v>0</v>
      </c>
      <c r="F329" s="6">
        <v>19209</v>
      </c>
      <c r="G329" s="7">
        <v>0</v>
      </c>
      <c r="H329" s="6">
        <v>19792</v>
      </c>
      <c r="I329" s="7">
        <f t="shared" si="68"/>
        <v>583</v>
      </c>
      <c r="J329" s="6">
        <v>0</v>
      </c>
      <c r="K329" s="6" t="s">
        <v>23</v>
      </c>
      <c r="L329" s="8">
        <v>0</v>
      </c>
      <c r="M329" s="8">
        <f t="shared" si="75"/>
        <v>4741</v>
      </c>
      <c r="N329" s="4" t="s">
        <v>24</v>
      </c>
      <c r="O329" s="6">
        <v>4</v>
      </c>
      <c r="P329" s="6">
        <v>200</v>
      </c>
      <c r="Q329" s="6">
        <v>7</v>
      </c>
      <c r="R329" s="4" t="s">
        <v>659</v>
      </c>
      <c r="S329" s="3">
        <v>995</v>
      </c>
      <c r="T329" s="4" t="s">
        <v>186</v>
      </c>
    </row>
    <row r="330" spans="1:20" ht="14.4">
      <c r="A330" s="3">
        <v>105</v>
      </c>
      <c r="B330" s="4" t="s">
        <v>452</v>
      </c>
      <c r="C330" s="4" t="s">
        <v>660</v>
      </c>
      <c r="D330" s="4" t="s">
        <v>661</v>
      </c>
      <c r="E330" s="6">
        <f t="shared" si="79"/>
        <v>0</v>
      </c>
      <c r="F330" s="6">
        <v>0</v>
      </c>
      <c r="G330" s="7">
        <v>0</v>
      </c>
      <c r="H330" s="6">
        <v>0</v>
      </c>
      <c r="I330" s="7">
        <f t="shared" si="68"/>
        <v>0</v>
      </c>
      <c r="J330" s="6">
        <v>0</v>
      </c>
      <c r="K330" s="6">
        <v>0</v>
      </c>
      <c r="L330" s="8">
        <v>0</v>
      </c>
      <c r="M330" s="8">
        <v>0</v>
      </c>
      <c r="N330" s="4" t="s">
        <v>24</v>
      </c>
      <c r="O330" s="6">
        <v>4</v>
      </c>
      <c r="P330" s="6">
        <v>200</v>
      </c>
      <c r="Q330" s="6">
        <v>7</v>
      </c>
      <c r="R330" s="4"/>
      <c r="S330" s="3">
        <v>1290</v>
      </c>
      <c r="T330" s="4" t="s">
        <v>177</v>
      </c>
    </row>
    <row r="331" spans="1:20" ht="14.4">
      <c r="A331" s="3">
        <v>106</v>
      </c>
      <c r="B331" s="4" t="s">
        <v>452</v>
      </c>
      <c r="C331" s="4" t="s">
        <v>660</v>
      </c>
      <c r="D331" s="4" t="s">
        <v>662</v>
      </c>
      <c r="E331" s="6">
        <f t="shared" si="79"/>
        <v>0</v>
      </c>
      <c r="F331" s="6">
        <v>9026</v>
      </c>
      <c r="G331" s="7">
        <v>0</v>
      </c>
      <c r="H331" s="6">
        <v>9545</v>
      </c>
      <c r="I331" s="7">
        <f t="shared" si="68"/>
        <v>519</v>
      </c>
      <c r="J331" s="6">
        <v>0</v>
      </c>
      <c r="K331" s="6">
        <v>0</v>
      </c>
      <c r="L331" s="8">
        <v>0</v>
      </c>
      <c r="M331" s="8">
        <f t="shared" ref="M331:M338" si="80">I331*Q331+P331+O331*115</f>
        <v>4293</v>
      </c>
      <c r="N331" s="4" t="s">
        <v>24</v>
      </c>
      <c r="O331" s="6">
        <v>4</v>
      </c>
      <c r="P331" s="6">
        <v>200</v>
      </c>
      <c r="Q331" s="6">
        <v>7</v>
      </c>
      <c r="R331" s="4" t="s">
        <v>663</v>
      </c>
      <c r="S331" s="3">
        <v>1290</v>
      </c>
      <c r="T331" s="4" t="s">
        <v>177</v>
      </c>
    </row>
    <row r="332" spans="1:20" ht="14.4">
      <c r="A332" s="3">
        <v>107</v>
      </c>
      <c r="B332" s="4" t="s">
        <v>452</v>
      </c>
      <c r="C332" s="4" t="s">
        <v>660</v>
      </c>
      <c r="D332" s="4" t="s">
        <v>664</v>
      </c>
      <c r="E332" s="6">
        <f t="shared" si="79"/>
        <v>0</v>
      </c>
      <c r="F332" s="6">
        <v>18841</v>
      </c>
      <c r="G332" s="7">
        <v>0</v>
      </c>
      <c r="H332" s="6">
        <v>19530</v>
      </c>
      <c r="I332" s="7">
        <f t="shared" si="68"/>
        <v>689</v>
      </c>
      <c r="J332" s="6">
        <v>0</v>
      </c>
      <c r="K332" s="6" t="s">
        <v>23</v>
      </c>
      <c r="L332" s="8">
        <v>0</v>
      </c>
      <c r="M332" s="8">
        <f t="shared" si="80"/>
        <v>5483</v>
      </c>
      <c r="N332" s="4" t="s">
        <v>24</v>
      </c>
      <c r="O332" s="6">
        <v>4</v>
      </c>
      <c r="P332" s="6">
        <v>200</v>
      </c>
      <c r="Q332" s="6">
        <v>7</v>
      </c>
      <c r="R332" s="4" t="s">
        <v>665</v>
      </c>
      <c r="S332" s="3">
        <v>995</v>
      </c>
      <c r="T332" s="4" t="s">
        <v>186</v>
      </c>
    </row>
    <row r="333" spans="1:20" ht="14.4">
      <c r="A333" s="3">
        <v>108</v>
      </c>
      <c r="B333" s="4" t="s">
        <v>452</v>
      </c>
      <c r="C333" s="4" t="s">
        <v>660</v>
      </c>
      <c r="D333" s="4" t="s">
        <v>666</v>
      </c>
      <c r="E333" s="6">
        <f t="shared" si="79"/>
        <v>0</v>
      </c>
      <c r="F333" s="6">
        <v>7357</v>
      </c>
      <c r="G333" s="7">
        <v>0</v>
      </c>
      <c r="H333" s="6">
        <v>7959</v>
      </c>
      <c r="I333" s="7">
        <f t="shared" si="68"/>
        <v>602</v>
      </c>
      <c r="J333" s="6">
        <v>0</v>
      </c>
      <c r="K333" s="6" t="s">
        <v>23</v>
      </c>
      <c r="L333" s="8">
        <v>0</v>
      </c>
      <c r="M333" s="8">
        <f t="shared" si="80"/>
        <v>4874</v>
      </c>
      <c r="N333" s="4" t="s">
        <v>24</v>
      </c>
      <c r="O333" s="6">
        <v>4</v>
      </c>
      <c r="P333" s="6">
        <v>200</v>
      </c>
      <c r="Q333" s="6">
        <v>7</v>
      </c>
      <c r="R333" s="4" t="s">
        <v>667</v>
      </c>
      <c r="S333" s="3">
        <v>995</v>
      </c>
      <c r="T333" s="4" t="s">
        <v>186</v>
      </c>
    </row>
    <row r="334" spans="1:20" ht="14.4">
      <c r="A334" s="3">
        <v>109</v>
      </c>
      <c r="B334" s="4" t="s">
        <v>452</v>
      </c>
      <c r="C334" s="4" t="s">
        <v>660</v>
      </c>
      <c r="D334" s="4" t="s">
        <v>668</v>
      </c>
      <c r="E334" s="6">
        <f t="shared" si="79"/>
        <v>0</v>
      </c>
      <c r="F334" s="6">
        <v>3820</v>
      </c>
      <c r="G334" s="7">
        <v>0</v>
      </c>
      <c r="H334" s="6">
        <v>3884</v>
      </c>
      <c r="I334" s="7">
        <f t="shared" si="68"/>
        <v>64</v>
      </c>
      <c r="J334" s="6">
        <v>0</v>
      </c>
      <c r="K334" s="6" t="s">
        <v>23</v>
      </c>
      <c r="L334" s="8">
        <v>0</v>
      </c>
      <c r="M334" s="8">
        <f t="shared" si="80"/>
        <v>1108</v>
      </c>
      <c r="N334" s="4" t="s">
        <v>24</v>
      </c>
      <c r="O334" s="6">
        <v>4</v>
      </c>
      <c r="P334" s="6">
        <v>200</v>
      </c>
      <c r="Q334" s="6">
        <v>7</v>
      </c>
      <c r="R334" s="4"/>
      <c r="S334" s="3">
        <v>995</v>
      </c>
      <c r="T334" s="4" t="s">
        <v>186</v>
      </c>
    </row>
    <row r="335" spans="1:20" ht="14.4">
      <c r="A335" s="3">
        <v>110</v>
      </c>
      <c r="B335" s="4" t="s">
        <v>452</v>
      </c>
      <c r="C335" s="4" t="s">
        <v>660</v>
      </c>
      <c r="D335" s="4" t="s">
        <v>669</v>
      </c>
      <c r="E335" s="6">
        <f t="shared" si="79"/>
        <v>0</v>
      </c>
      <c r="F335" s="6">
        <v>2741</v>
      </c>
      <c r="G335" s="7">
        <v>0</v>
      </c>
      <c r="H335" s="6">
        <v>3127</v>
      </c>
      <c r="I335" s="7">
        <f t="shared" si="68"/>
        <v>386</v>
      </c>
      <c r="J335" s="6">
        <v>0</v>
      </c>
      <c r="K335" s="6">
        <v>0</v>
      </c>
      <c r="L335" s="8">
        <v>0</v>
      </c>
      <c r="M335" s="8">
        <f t="shared" si="80"/>
        <v>3362</v>
      </c>
      <c r="N335" s="4" t="s">
        <v>24</v>
      </c>
      <c r="O335" s="6">
        <v>4</v>
      </c>
      <c r="P335" s="6">
        <v>200</v>
      </c>
      <c r="Q335" s="6">
        <v>7</v>
      </c>
      <c r="R335" s="4" t="s">
        <v>670</v>
      </c>
      <c r="S335" s="3">
        <v>995</v>
      </c>
      <c r="T335" s="4" t="s">
        <v>186</v>
      </c>
    </row>
    <row r="336" spans="1:20" ht="14.4">
      <c r="A336" s="3">
        <v>111</v>
      </c>
      <c r="B336" s="4" t="s">
        <v>452</v>
      </c>
      <c r="C336" s="4" t="s">
        <v>660</v>
      </c>
      <c r="D336" s="4" t="s">
        <v>671</v>
      </c>
      <c r="E336" s="6">
        <f t="shared" si="79"/>
        <v>0</v>
      </c>
      <c r="F336" s="6">
        <v>18184</v>
      </c>
      <c r="G336" s="7">
        <v>0</v>
      </c>
      <c r="H336" s="6">
        <v>18289</v>
      </c>
      <c r="I336" s="7">
        <f t="shared" si="68"/>
        <v>105</v>
      </c>
      <c r="J336" s="6">
        <v>0</v>
      </c>
      <c r="K336" s="6" t="s">
        <v>23</v>
      </c>
      <c r="L336" s="8">
        <v>0</v>
      </c>
      <c r="M336" s="8">
        <f t="shared" si="80"/>
        <v>1395</v>
      </c>
      <c r="N336" s="4" t="s">
        <v>24</v>
      </c>
      <c r="O336" s="6">
        <v>4</v>
      </c>
      <c r="P336" s="6">
        <v>200</v>
      </c>
      <c r="Q336" s="6">
        <v>7</v>
      </c>
      <c r="R336" s="4" t="s">
        <v>672</v>
      </c>
      <c r="S336" s="3">
        <v>995</v>
      </c>
      <c r="T336" s="4" t="s">
        <v>186</v>
      </c>
    </row>
    <row r="337" spans="1:20" ht="14.4">
      <c r="A337" s="3">
        <v>112</v>
      </c>
      <c r="B337" s="4" t="s">
        <v>452</v>
      </c>
      <c r="C337" s="4" t="s">
        <v>660</v>
      </c>
      <c r="D337" s="4" t="s">
        <v>673</v>
      </c>
      <c r="E337" s="6">
        <f t="shared" si="79"/>
        <v>0</v>
      </c>
      <c r="F337" s="6">
        <v>799</v>
      </c>
      <c r="G337" s="7">
        <v>0</v>
      </c>
      <c r="H337" s="6">
        <v>938</v>
      </c>
      <c r="I337" s="7">
        <f t="shared" si="68"/>
        <v>139</v>
      </c>
      <c r="J337" s="6">
        <v>0</v>
      </c>
      <c r="K337" s="6" t="s">
        <v>23</v>
      </c>
      <c r="L337" s="8">
        <v>0</v>
      </c>
      <c r="M337" s="8">
        <f t="shared" si="80"/>
        <v>1633</v>
      </c>
      <c r="N337" s="4" t="s">
        <v>24</v>
      </c>
      <c r="O337" s="6">
        <v>4</v>
      </c>
      <c r="P337" s="6">
        <v>200</v>
      </c>
      <c r="Q337" s="6">
        <v>7</v>
      </c>
      <c r="R337" s="4" t="s">
        <v>674</v>
      </c>
      <c r="S337" s="3">
        <v>995</v>
      </c>
      <c r="T337" s="4" t="s">
        <v>186</v>
      </c>
    </row>
    <row r="338" spans="1:20" ht="14.4">
      <c r="A338" s="3">
        <v>113</v>
      </c>
      <c r="B338" s="4" t="s">
        <v>452</v>
      </c>
      <c r="C338" s="4" t="s">
        <v>675</v>
      </c>
      <c r="D338" s="4" t="s">
        <v>676</v>
      </c>
      <c r="E338" s="6">
        <f t="shared" si="79"/>
        <v>0</v>
      </c>
      <c r="F338" s="6">
        <v>1761</v>
      </c>
      <c r="G338" s="7">
        <v>0</v>
      </c>
      <c r="H338" s="6">
        <v>2089</v>
      </c>
      <c r="I338" s="7">
        <f t="shared" si="68"/>
        <v>328</v>
      </c>
      <c r="J338" s="6">
        <v>0</v>
      </c>
      <c r="K338" s="6">
        <v>0</v>
      </c>
      <c r="L338" s="8">
        <v>0</v>
      </c>
      <c r="M338" s="8">
        <f t="shared" si="80"/>
        <v>2956</v>
      </c>
      <c r="N338" s="4" t="s">
        <v>24</v>
      </c>
      <c r="O338" s="6">
        <v>4</v>
      </c>
      <c r="P338" s="6">
        <v>200</v>
      </c>
      <c r="Q338" s="6">
        <v>7</v>
      </c>
      <c r="R338" s="4" t="s">
        <v>677</v>
      </c>
      <c r="S338" s="3">
        <v>1290</v>
      </c>
      <c r="T338" s="4" t="s">
        <v>177</v>
      </c>
    </row>
    <row r="339" spans="1:20" ht="14.4">
      <c r="A339" s="3">
        <v>114</v>
      </c>
      <c r="B339" s="4" t="s">
        <v>452</v>
      </c>
      <c r="C339" s="4" t="s">
        <v>675</v>
      </c>
      <c r="D339" s="4" t="s">
        <v>678</v>
      </c>
      <c r="E339" s="6">
        <f t="shared" si="79"/>
        <v>0</v>
      </c>
      <c r="F339" s="6">
        <v>0</v>
      </c>
      <c r="G339" s="7">
        <v>0</v>
      </c>
      <c r="H339" s="6">
        <v>0</v>
      </c>
      <c r="I339" s="7">
        <f t="shared" si="68"/>
        <v>0</v>
      </c>
      <c r="J339" s="6">
        <v>0</v>
      </c>
      <c r="K339" s="6">
        <v>0</v>
      </c>
      <c r="L339" s="8">
        <v>0</v>
      </c>
      <c r="M339" s="8">
        <v>0</v>
      </c>
      <c r="N339" s="4" t="s">
        <v>24</v>
      </c>
      <c r="O339" s="6">
        <v>4</v>
      </c>
      <c r="P339" s="6">
        <v>200</v>
      </c>
      <c r="Q339" s="6">
        <v>7</v>
      </c>
      <c r="R339" s="4"/>
      <c r="S339" s="3">
        <v>1290</v>
      </c>
      <c r="T339" s="4" t="s">
        <v>177</v>
      </c>
    </row>
    <row r="340" spans="1:20" ht="14.4">
      <c r="A340" s="3">
        <v>115</v>
      </c>
      <c r="B340" s="4" t="s">
        <v>452</v>
      </c>
      <c r="C340" s="4" t="s">
        <v>675</v>
      </c>
      <c r="D340" s="4" t="s">
        <v>679</v>
      </c>
      <c r="E340" s="6">
        <f t="shared" si="79"/>
        <v>0</v>
      </c>
      <c r="F340" s="6">
        <v>4740</v>
      </c>
      <c r="G340" s="7">
        <v>0</v>
      </c>
      <c r="H340" s="6">
        <v>5616</v>
      </c>
      <c r="I340" s="7">
        <f t="shared" si="68"/>
        <v>876</v>
      </c>
      <c r="J340" s="6">
        <v>0</v>
      </c>
      <c r="K340" s="6">
        <v>0</v>
      </c>
      <c r="L340" s="8">
        <v>0</v>
      </c>
      <c r="M340" s="8">
        <f t="shared" ref="M340:M341" si="81">I340*Q340+P340+O340*115</f>
        <v>6792</v>
      </c>
      <c r="N340" s="4" t="s">
        <v>24</v>
      </c>
      <c r="O340" s="6">
        <v>4</v>
      </c>
      <c r="P340" s="6">
        <v>200</v>
      </c>
      <c r="Q340" s="6">
        <v>7</v>
      </c>
      <c r="R340" s="4" t="s">
        <v>680</v>
      </c>
      <c r="S340" s="3">
        <v>995</v>
      </c>
      <c r="T340" s="4" t="s">
        <v>186</v>
      </c>
    </row>
    <row r="341" spans="1:20" ht="14.4">
      <c r="A341" s="3">
        <v>116</v>
      </c>
      <c r="B341" s="4" t="s">
        <v>452</v>
      </c>
      <c r="C341" s="4" t="s">
        <v>675</v>
      </c>
      <c r="D341" s="4" t="s">
        <v>681</v>
      </c>
      <c r="E341" s="6">
        <f t="shared" si="79"/>
        <v>0</v>
      </c>
      <c r="F341" s="6">
        <v>4004</v>
      </c>
      <c r="G341" s="7">
        <v>0</v>
      </c>
      <c r="H341" s="6">
        <v>4276</v>
      </c>
      <c r="I341" s="7">
        <f t="shared" si="68"/>
        <v>272</v>
      </c>
      <c r="J341" s="6">
        <v>0</v>
      </c>
      <c r="K341" s="6" t="s">
        <v>23</v>
      </c>
      <c r="L341" s="8">
        <v>0</v>
      </c>
      <c r="M341" s="8">
        <f t="shared" si="81"/>
        <v>2564</v>
      </c>
      <c r="N341" s="4" t="s">
        <v>24</v>
      </c>
      <c r="O341" s="6">
        <v>4</v>
      </c>
      <c r="P341" s="6">
        <v>200</v>
      </c>
      <c r="Q341" s="6">
        <v>7</v>
      </c>
      <c r="R341" s="4" t="s">
        <v>682</v>
      </c>
      <c r="S341" s="3">
        <v>995</v>
      </c>
      <c r="T341" s="4" t="s">
        <v>186</v>
      </c>
    </row>
    <row r="342" spans="1:20" ht="14.4">
      <c r="A342" s="3">
        <v>117</v>
      </c>
      <c r="B342" s="4" t="s">
        <v>452</v>
      </c>
      <c r="C342" s="4" t="s">
        <v>675</v>
      </c>
      <c r="D342" s="4" t="s">
        <v>683</v>
      </c>
      <c r="E342" s="6">
        <f t="shared" si="79"/>
        <v>0</v>
      </c>
      <c r="F342" s="6">
        <v>0</v>
      </c>
      <c r="G342" s="7">
        <v>0</v>
      </c>
      <c r="H342" s="6">
        <v>0</v>
      </c>
      <c r="I342" s="7">
        <f t="shared" si="68"/>
        <v>0</v>
      </c>
      <c r="J342" s="6">
        <v>0</v>
      </c>
      <c r="K342" s="6">
        <v>0</v>
      </c>
      <c r="L342" s="8">
        <v>0</v>
      </c>
      <c r="M342" s="8">
        <v>0</v>
      </c>
      <c r="N342" s="4" t="s">
        <v>24</v>
      </c>
      <c r="O342" s="6">
        <v>4</v>
      </c>
      <c r="P342" s="6">
        <v>200</v>
      </c>
      <c r="Q342" s="6">
        <v>7</v>
      </c>
      <c r="R342" s="4" t="s">
        <v>684</v>
      </c>
      <c r="S342" s="3">
        <v>995</v>
      </c>
      <c r="T342" s="4" t="s">
        <v>186</v>
      </c>
    </row>
    <row r="343" spans="1:20" ht="14.4">
      <c r="A343" s="3">
        <v>118</v>
      </c>
      <c r="B343" s="4" t="s">
        <v>452</v>
      </c>
      <c r="C343" s="4" t="s">
        <v>675</v>
      </c>
      <c r="D343" s="4" t="s">
        <v>685</v>
      </c>
      <c r="E343" s="6">
        <f t="shared" si="79"/>
        <v>0</v>
      </c>
      <c r="F343" s="6">
        <v>5881</v>
      </c>
      <c r="G343" s="7">
        <v>0</v>
      </c>
      <c r="H343" s="6">
        <v>5882</v>
      </c>
      <c r="I343" s="7">
        <f t="shared" si="68"/>
        <v>1</v>
      </c>
      <c r="J343" s="6">
        <v>0</v>
      </c>
      <c r="K343" s="6"/>
      <c r="L343" s="8">
        <v>0</v>
      </c>
      <c r="M343" s="8">
        <f t="shared" ref="M343:M355" si="82">I343*Q343+P343+O343*115</f>
        <v>667</v>
      </c>
      <c r="N343" s="4" t="s">
        <v>24</v>
      </c>
      <c r="O343" s="6">
        <v>4</v>
      </c>
      <c r="P343" s="6">
        <v>200</v>
      </c>
      <c r="Q343" s="6">
        <v>7</v>
      </c>
      <c r="R343" s="4" t="s">
        <v>686</v>
      </c>
      <c r="S343" s="3">
        <v>995</v>
      </c>
      <c r="T343" s="4" t="s">
        <v>186</v>
      </c>
    </row>
    <row r="344" spans="1:20" ht="14.4">
      <c r="A344" s="3">
        <v>119</v>
      </c>
      <c r="B344" s="4" t="s">
        <v>452</v>
      </c>
      <c r="C344" s="4" t="s">
        <v>675</v>
      </c>
      <c r="D344" s="4" t="s">
        <v>687</v>
      </c>
      <c r="E344" s="6">
        <f t="shared" si="79"/>
        <v>0</v>
      </c>
      <c r="F344" s="6">
        <v>15353</v>
      </c>
      <c r="G344" s="7">
        <v>0</v>
      </c>
      <c r="H344" s="6">
        <v>15459</v>
      </c>
      <c r="I344" s="7">
        <f t="shared" si="68"/>
        <v>106</v>
      </c>
      <c r="J344" s="6">
        <v>0</v>
      </c>
      <c r="K344" s="6" t="s">
        <v>23</v>
      </c>
      <c r="L344" s="8">
        <v>0</v>
      </c>
      <c r="M344" s="8">
        <f t="shared" si="82"/>
        <v>1402</v>
      </c>
      <c r="N344" s="4" t="s">
        <v>24</v>
      </c>
      <c r="O344" s="6">
        <v>4</v>
      </c>
      <c r="P344" s="6">
        <v>200</v>
      </c>
      <c r="Q344" s="6">
        <v>7</v>
      </c>
      <c r="R344" s="4" t="s">
        <v>565</v>
      </c>
      <c r="S344" s="3">
        <v>995</v>
      </c>
      <c r="T344" s="4" t="s">
        <v>186</v>
      </c>
    </row>
    <row r="345" spans="1:20" ht="14.4">
      <c r="A345" s="3">
        <v>120</v>
      </c>
      <c r="B345" s="4" t="s">
        <v>452</v>
      </c>
      <c r="C345" s="4" t="s">
        <v>675</v>
      </c>
      <c r="D345" s="4" t="s">
        <v>688</v>
      </c>
      <c r="E345" s="6">
        <f t="shared" si="79"/>
        <v>0</v>
      </c>
      <c r="F345" s="6">
        <v>8238</v>
      </c>
      <c r="G345" s="7">
        <v>0</v>
      </c>
      <c r="H345" s="6">
        <v>8741</v>
      </c>
      <c r="I345" s="7">
        <f t="shared" si="68"/>
        <v>503</v>
      </c>
      <c r="J345" s="6">
        <v>0</v>
      </c>
      <c r="K345" s="6" t="s">
        <v>23</v>
      </c>
      <c r="L345" s="8">
        <v>0</v>
      </c>
      <c r="M345" s="8">
        <f t="shared" si="82"/>
        <v>4181</v>
      </c>
      <c r="N345" s="4" t="s">
        <v>24</v>
      </c>
      <c r="O345" s="6">
        <v>4</v>
      </c>
      <c r="P345" s="6">
        <v>200</v>
      </c>
      <c r="Q345" s="6">
        <v>7</v>
      </c>
      <c r="R345" s="4" t="s">
        <v>689</v>
      </c>
      <c r="S345" s="3">
        <v>995</v>
      </c>
      <c r="T345" s="4" t="s">
        <v>186</v>
      </c>
    </row>
    <row r="346" spans="1:20" ht="14.4">
      <c r="A346" s="3">
        <v>121</v>
      </c>
      <c r="B346" s="4" t="s">
        <v>452</v>
      </c>
      <c r="C346" s="4" t="s">
        <v>690</v>
      </c>
      <c r="D346" s="4" t="s">
        <v>691</v>
      </c>
      <c r="E346" s="6">
        <f t="shared" si="79"/>
        <v>0</v>
      </c>
      <c r="F346" s="6">
        <v>6035</v>
      </c>
      <c r="G346" s="7">
        <v>0</v>
      </c>
      <c r="H346" s="6">
        <v>6374</v>
      </c>
      <c r="I346" s="7">
        <f t="shared" si="68"/>
        <v>339</v>
      </c>
      <c r="J346" s="6">
        <v>0</v>
      </c>
      <c r="K346" s="6" t="s">
        <v>23</v>
      </c>
      <c r="L346" s="8">
        <v>0</v>
      </c>
      <c r="M346" s="8">
        <f t="shared" si="82"/>
        <v>3033</v>
      </c>
      <c r="N346" s="4" t="s">
        <v>24</v>
      </c>
      <c r="O346" s="6">
        <v>4</v>
      </c>
      <c r="P346" s="6">
        <v>200</v>
      </c>
      <c r="Q346" s="6">
        <v>7</v>
      </c>
      <c r="R346" s="4" t="s">
        <v>692</v>
      </c>
      <c r="S346" s="3">
        <v>1290</v>
      </c>
      <c r="T346" s="4" t="s">
        <v>177</v>
      </c>
    </row>
    <row r="347" spans="1:20" ht="14.4">
      <c r="A347" s="3">
        <v>122</v>
      </c>
      <c r="B347" s="4" t="s">
        <v>452</v>
      </c>
      <c r="C347" s="4" t="s">
        <v>690</v>
      </c>
      <c r="D347" s="4" t="s">
        <v>693</v>
      </c>
      <c r="E347" s="6">
        <f t="shared" si="79"/>
        <v>0</v>
      </c>
      <c r="F347" s="6">
        <v>14793</v>
      </c>
      <c r="G347" s="7">
        <v>0</v>
      </c>
      <c r="H347" s="6">
        <v>15216</v>
      </c>
      <c r="I347" s="7">
        <f t="shared" si="68"/>
        <v>423</v>
      </c>
      <c r="J347" s="6">
        <v>0</v>
      </c>
      <c r="K347" s="6" t="s">
        <v>23</v>
      </c>
      <c r="L347" s="8">
        <v>0</v>
      </c>
      <c r="M347" s="8">
        <f t="shared" si="82"/>
        <v>3621</v>
      </c>
      <c r="N347" s="4" t="s">
        <v>24</v>
      </c>
      <c r="O347" s="6">
        <v>4</v>
      </c>
      <c r="P347" s="6">
        <v>200</v>
      </c>
      <c r="Q347" s="6">
        <v>7</v>
      </c>
      <c r="R347" s="4" t="s">
        <v>694</v>
      </c>
      <c r="S347" s="3">
        <v>1290</v>
      </c>
      <c r="T347" s="4" t="s">
        <v>177</v>
      </c>
    </row>
    <row r="348" spans="1:20" ht="14.4">
      <c r="A348" s="3">
        <v>123</v>
      </c>
      <c r="B348" s="4" t="s">
        <v>452</v>
      </c>
      <c r="C348" s="4" t="s">
        <v>690</v>
      </c>
      <c r="D348" s="4" t="s">
        <v>695</v>
      </c>
      <c r="E348" s="6">
        <f t="shared" si="79"/>
        <v>0</v>
      </c>
      <c r="F348" s="6">
        <v>202</v>
      </c>
      <c r="G348" s="7">
        <v>0</v>
      </c>
      <c r="H348" s="6">
        <v>207</v>
      </c>
      <c r="I348" s="7">
        <f t="shared" si="68"/>
        <v>5</v>
      </c>
      <c r="J348" s="6">
        <v>0</v>
      </c>
      <c r="K348" s="6"/>
      <c r="L348" s="8">
        <v>0</v>
      </c>
      <c r="M348" s="8">
        <f t="shared" si="82"/>
        <v>695</v>
      </c>
      <c r="N348" s="4" t="s">
        <v>24</v>
      </c>
      <c r="O348" s="6">
        <v>4</v>
      </c>
      <c r="P348" s="6">
        <v>200</v>
      </c>
      <c r="Q348" s="6">
        <v>7</v>
      </c>
      <c r="R348" s="4"/>
      <c r="S348" s="3">
        <v>995</v>
      </c>
      <c r="T348" s="4" t="s">
        <v>186</v>
      </c>
    </row>
    <row r="349" spans="1:20" ht="14.4">
      <c r="A349" s="3">
        <v>124</v>
      </c>
      <c r="B349" s="4" t="s">
        <v>452</v>
      </c>
      <c r="C349" s="4" t="s">
        <v>690</v>
      </c>
      <c r="D349" s="4" t="s">
        <v>696</v>
      </c>
      <c r="E349" s="6">
        <f t="shared" si="79"/>
        <v>0</v>
      </c>
      <c r="F349" s="6">
        <v>6967</v>
      </c>
      <c r="G349" s="7">
        <v>0</v>
      </c>
      <c r="H349" s="6">
        <v>7203</v>
      </c>
      <c r="I349" s="7">
        <f t="shared" si="68"/>
        <v>236</v>
      </c>
      <c r="J349" s="6">
        <v>0</v>
      </c>
      <c r="K349" s="6" t="s">
        <v>23</v>
      </c>
      <c r="L349" s="8">
        <v>0</v>
      </c>
      <c r="M349" s="8">
        <f t="shared" si="82"/>
        <v>2312</v>
      </c>
      <c r="N349" s="4" t="s">
        <v>24</v>
      </c>
      <c r="O349" s="6">
        <v>4</v>
      </c>
      <c r="P349" s="6">
        <v>200</v>
      </c>
      <c r="Q349" s="6">
        <v>7</v>
      </c>
      <c r="R349" s="4" t="s">
        <v>697</v>
      </c>
      <c r="S349" s="3">
        <v>995</v>
      </c>
      <c r="T349" s="4" t="s">
        <v>186</v>
      </c>
    </row>
    <row r="350" spans="1:20" ht="14.4">
      <c r="A350" s="3">
        <v>125</v>
      </c>
      <c r="B350" s="4" t="s">
        <v>452</v>
      </c>
      <c r="C350" s="4" t="s">
        <v>690</v>
      </c>
      <c r="D350" s="4" t="s">
        <v>698</v>
      </c>
      <c r="E350" s="6">
        <f t="shared" si="79"/>
        <v>0</v>
      </c>
      <c r="F350" s="6">
        <v>1768</v>
      </c>
      <c r="G350" s="7">
        <v>0</v>
      </c>
      <c r="H350" s="6">
        <v>1968</v>
      </c>
      <c r="I350" s="7">
        <f t="shared" si="68"/>
        <v>200</v>
      </c>
      <c r="J350" s="6">
        <v>0</v>
      </c>
      <c r="K350" s="6" t="s">
        <v>23</v>
      </c>
      <c r="L350" s="8">
        <v>0</v>
      </c>
      <c r="M350" s="8">
        <f t="shared" si="82"/>
        <v>2060</v>
      </c>
      <c r="N350" s="4" t="s">
        <v>24</v>
      </c>
      <c r="O350" s="6">
        <v>4</v>
      </c>
      <c r="P350" s="6">
        <v>200</v>
      </c>
      <c r="Q350" s="6">
        <v>7</v>
      </c>
      <c r="R350" s="4" t="s">
        <v>699</v>
      </c>
      <c r="S350" s="3">
        <v>995</v>
      </c>
      <c r="T350" s="4" t="s">
        <v>186</v>
      </c>
    </row>
    <row r="351" spans="1:20" ht="14.4">
      <c r="A351" s="3">
        <v>126</v>
      </c>
      <c r="B351" s="4" t="s">
        <v>452</v>
      </c>
      <c r="C351" s="4" t="s">
        <v>690</v>
      </c>
      <c r="D351" s="4" t="s">
        <v>700</v>
      </c>
      <c r="E351" s="6">
        <f t="shared" si="79"/>
        <v>0</v>
      </c>
      <c r="F351" s="6">
        <v>11600</v>
      </c>
      <c r="G351" s="7">
        <v>0</v>
      </c>
      <c r="H351" s="6">
        <v>12028</v>
      </c>
      <c r="I351" s="7">
        <f t="shared" si="68"/>
        <v>428</v>
      </c>
      <c r="J351" s="6">
        <v>0</v>
      </c>
      <c r="K351" s="6" t="s">
        <v>23</v>
      </c>
      <c r="L351" s="8">
        <v>0</v>
      </c>
      <c r="M351" s="8">
        <f t="shared" si="82"/>
        <v>3656</v>
      </c>
      <c r="N351" s="4" t="s">
        <v>24</v>
      </c>
      <c r="O351" s="6">
        <v>4</v>
      </c>
      <c r="P351" s="6">
        <v>200</v>
      </c>
      <c r="Q351" s="6">
        <v>7</v>
      </c>
      <c r="R351" s="4" t="s">
        <v>701</v>
      </c>
      <c r="S351" s="3">
        <v>995</v>
      </c>
      <c r="T351" s="4" t="s">
        <v>186</v>
      </c>
    </row>
    <row r="352" spans="1:20" ht="14.4">
      <c r="A352" s="3">
        <v>127</v>
      </c>
      <c r="B352" s="4" t="s">
        <v>452</v>
      </c>
      <c r="C352" s="4" t="s">
        <v>690</v>
      </c>
      <c r="D352" s="4" t="s">
        <v>702</v>
      </c>
      <c r="E352" s="6">
        <f t="shared" si="79"/>
        <v>0</v>
      </c>
      <c r="F352" s="6">
        <v>6651</v>
      </c>
      <c r="G352" s="7">
        <v>0</v>
      </c>
      <c r="H352" s="6">
        <v>6831</v>
      </c>
      <c r="I352" s="7">
        <f t="shared" si="68"/>
        <v>180</v>
      </c>
      <c r="J352" s="6">
        <v>0</v>
      </c>
      <c r="K352" s="6" t="s">
        <v>23</v>
      </c>
      <c r="L352" s="8">
        <v>0</v>
      </c>
      <c r="M352" s="8">
        <f t="shared" si="82"/>
        <v>1920</v>
      </c>
      <c r="N352" s="4" t="s">
        <v>24</v>
      </c>
      <c r="O352" s="6">
        <v>4</v>
      </c>
      <c r="P352" s="6">
        <v>200</v>
      </c>
      <c r="Q352" s="6">
        <v>7</v>
      </c>
      <c r="R352" s="4" t="s">
        <v>703</v>
      </c>
      <c r="S352" s="3">
        <v>995</v>
      </c>
      <c r="T352" s="4" t="s">
        <v>186</v>
      </c>
    </row>
    <row r="353" spans="1:20" ht="14.4">
      <c r="A353" s="3">
        <v>128</v>
      </c>
      <c r="B353" s="4" t="s">
        <v>452</v>
      </c>
      <c r="C353" s="4" t="s">
        <v>690</v>
      </c>
      <c r="D353" s="4" t="s">
        <v>704</v>
      </c>
      <c r="E353" s="6">
        <f t="shared" si="79"/>
        <v>0</v>
      </c>
      <c r="F353" s="6">
        <v>11270</v>
      </c>
      <c r="G353" s="7">
        <v>0</v>
      </c>
      <c r="H353" s="6">
        <v>11733</v>
      </c>
      <c r="I353" s="7">
        <f t="shared" si="68"/>
        <v>463</v>
      </c>
      <c r="J353" s="6">
        <v>0</v>
      </c>
      <c r="K353" s="6" t="s">
        <v>23</v>
      </c>
      <c r="L353" s="8">
        <v>0</v>
      </c>
      <c r="M353" s="8">
        <f t="shared" si="82"/>
        <v>3901</v>
      </c>
      <c r="N353" s="4" t="s">
        <v>24</v>
      </c>
      <c r="O353" s="6">
        <v>4</v>
      </c>
      <c r="P353" s="6">
        <v>200</v>
      </c>
      <c r="Q353" s="6">
        <v>7</v>
      </c>
      <c r="R353" s="4" t="s">
        <v>705</v>
      </c>
      <c r="S353" s="3">
        <v>995</v>
      </c>
      <c r="T353" s="4" t="s">
        <v>186</v>
      </c>
    </row>
    <row r="354" spans="1:20" ht="14.4">
      <c r="A354" s="3">
        <v>129</v>
      </c>
      <c r="B354" s="4" t="s">
        <v>452</v>
      </c>
      <c r="C354" s="4" t="s">
        <v>706</v>
      </c>
      <c r="D354" s="9" t="s">
        <v>707</v>
      </c>
      <c r="E354" s="6">
        <v>0</v>
      </c>
      <c r="F354" s="6">
        <v>1341</v>
      </c>
      <c r="G354" s="7">
        <v>0</v>
      </c>
      <c r="H354" s="6">
        <v>1664</v>
      </c>
      <c r="I354" s="7">
        <f t="shared" si="68"/>
        <v>323</v>
      </c>
      <c r="J354" s="6" t="s">
        <v>23</v>
      </c>
      <c r="K354" s="6" t="s">
        <v>23</v>
      </c>
      <c r="L354" s="8">
        <f>G354*Q354+P354+O354*115</f>
        <v>660</v>
      </c>
      <c r="M354" s="8">
        <f t="shared" si="82"/>
        <v>2921</v>
      </c>
      <c r="N354" s="4" t="s">
        <v>24</v>
      </c>
      <c r="O354" s="6">
        <v>4</v>
      </c>
      <c r="P354" s="6">
        <v>200</v>
      </c>
      <c r="Q354" s="6">
        <v>7</v>
      </c>
      <c r="R354" s="4" t="s">
        <v>708</v>
      </c>
      <c r="S354" s="3">
        <v>1290</v>
      </c>
      <c r="T354" s="4" t="s">
        <v>177</v>
      </c>
    </row>
    <row r="355" spans="1:20" ht="14.4">
      <c r="A355" s="3">
        <v>130</v>
      </c>
      <c r="B355" s="4" t="s">
        <v>452</v>
      </c>
      <c r="C355" s="4" t="s">
        <v>706</v>
      </c>
      <c r="D355" s="4" t="s">
        <v>709</v>
      </c>
      <c r="E355" s="6">
        <f t="shared" ref="E355:E356" si="83">J355</f>
        <v>0</v>
      </c>
      <c r="F355" s="6">
        <v>1012</v>
      </c>
      <c r="G355" s="7">
        <v>0</v>
      </c>
      <c r="H355" s="6">
        <v>1098</v>
      </c>
      <c r="I355" s="7">
        <f t="shared" si="68"/>
        <v>86</v>
      </c>
      <c r="J355" s="6">
        <v>0</v>
      </c>
      <c r="K355" s="6" t="s">
        <v>23</v>
      </c>
      <c r="L355" s="8">
        <v>0</v>
      </c>
      <c r="M355" s="8">
        <f t="shared" si="82"/>
        <v>1262</v>
      </c>
      <c r="N355" s="4" t="s">
        <v>24</v>
      </c>
      <c r="O355" s="6">
        <v>4</v>
      </c>
      <c r="P355" s="6">
        <v>200</v>
      </c>
      <c r="Q355" s="6">
        <v>7</v>
      </c>
      <c r="R355" s="4" t="s">
        <v>710</v>
      </c>
      <c r="S355" s="3">
        <v>1290</v>
      </c>
      <c r="T355" s="4" t="s">
        <v>177</v>
      </c>
    </row>
    <row r="356" spans="1:20" ht="14.4">
      <c r="A356" s="3">
        <v>131</v>
      </c>
      <c r="B356" s="4" t="s">
        <v>452</v>
      </c>
      <c r="C356" s="4" t="s">
        <v>706</v>
      </c>
      <c r="D356" s="4" t="s">
        <v>711</v>
      </c>
      <c r="E356" s="6">
        <f t="shared" si="83"/>
        <v>0</v>
      </c>
      <c r="F356" s="6">
        <v>0</v>
      </c>
      <c r="G356" s="7">
        <v>0</v>
      </c>
      <c r="H356" s="6">
        <v>0</v>
      </c>
      <c r="I356" s="7">
        <f t="shared" si="68"/>
        <v>0</v>
      </c>
      <c r="J356" s="6">
        <v>0</v>
      </c>
      <c r="K356" s="6">
        <v>0</v>
      </c>
      <c r="L356" s="8">
        <v>0</v>
      </c>
      <c r="M356" s="8">
        <v>0</v>
      </c>
      <c r="N356" s="4" t="s">
        <v>24</v>
      </c>
      <c r="O356" s="6">
        <v>4</v>
      </c>
      <c r="P356" s="6">
        <v>200</v>
      </c>
      <c r="Q356" s="6">
        <v>7</v>
      </c>
      <c r="R356" s="4"/>
      <c r="S356" s="3">
        <v>995</v>
      </c>
      <c r="T356" s="4" t="s">
        <v>186</v>
      </c>
    </row>
    <row r="357" spans="1:20" ht="14.4">
      <c r="A357" s="3">
        <v>132</v>
      </c>
      <c r="B357" s="4" t="s">
        <v>452</v>
      </c>
      <c r="C357" s="4" t="s">
        <v>706</v>
      </c>
      <c r="D357" s="4" t="s">
        <v>712</v>
      </c>
      <c r="E357" s="6">
        <v>1525</v>
      </c>
      <c r="F357" s="6">
        <v>1890</v>
      </c>
      <c r="G357" s="7">
        <f>F357-E357</f>
        <v>365</v>
      </c>
      <c r="H357" s="6">
        <v>2084</v>
      </c>
      <c r="I357" s="7">
        <f t="shared" si="68"/>
        <v>194</v>
      </c>
      <c r="J357" s="6" t="s">
        <v>23</v>
      </c>
      <c r="K357" s="6" t="s">
        <v>23</v>
      </c>
      <c r="L357" s="8">
        <f>G357*Q357+P357+O357*115</f>
        <v>3215</v>
      </c>
      <c r="M357" s="8">
        <f t="shared" ref="M357:M361" si="84">I357*Q357+P357+O357*115</f>
        <v>2018</v>
      </c>
      <c r="N357" s="4" t="s">
        <v>24</v>
      </c>
      <c r="O357" s="6">
        <v>4</v>
      </c>
      <c r="P357" s="6">
        <v>200</v>
      </c>
      <c r="Q357" s="6">
        <v>7</v>
      </c>
      <c r="R357" s="4" t="s">
        <v>713</v>
      </c>
      <c r="S357" s="3">
        <v>995</v>
      </c>
      <c r="T357" s="4" t="s">
        <v>186</v>
      </c>
    </row>
    <row r="358" spans="1:20" ht="14.4">
      <c r="A358" s="3">
        <v>133</v>
      </c>
      <c r="B358" s="4" t="s">
        <v>452</v>
      </c>
      <c r="C358" s="4" t="s">
        <v>706</v>
      </c>
      <c r="D358" s="4" t="s">
        <v>714</v>
      </c>
      <c r="E358" s="6">
        <f t="shared" ref="E358:E377" si="85">J358</f>
        <v>0</v>
      </c>
      <c r="F358" s="6">
        <v>3960</v>
      </c>
      <c r="G358" s="7">
        <v>0</v>
      </c>
      <c r="H358" s="6">
        <v>4404</v>
      </c>
      <c r="I358" s="7">
        <f t="shared" si="68"/>
        <v>444</v>
      </c>
      <c r="J358" s="6">
        <v>0</v>
      </c>
      <c r="K358" s="6" t="s">
        <v>23</v>
      </c>
      <c r="L358" s="8">
        <v>0</v>
      </c>
      <c r="M358" s="8">
        <f t="shared" si="84"/>
        <v>3768</v>
      </c>
      <c r="N358" s="4" t="s">
        <v>24</v>
      </c>
      <c r="O358" s="6">
        <v>4</v>
      </c>
      <c r="P358" s="6">
        <v>200</v>
      </c>
      <c r="Q358" s="6">
        <v>7</v>
      </c>
      <c r="R358" s="4" t="s">
        <v>715</v>
      </c>
      <c r="S358" s="3">
        <v>995</v>
      </c>
      <c r="T358" s="4" t="s">
        <v>186</v>
      </c>
    </row>
    <row r="359" spans="1:20" ht="14.4">
      <c r="A359" s="3">
        <v>134</v>
      </c>
      <c r="B359" s="4" t="s">
        <v>452</v>
      </c>
      <c r="C359" s="4" t="s">
        <v>706</v>
      </c>
      <c r="D359" s="4" t="s">
        <v>716</v>
      </c>
      <c r="E359" s="6">
        <f t="shared" si="85"/>
        <v>0</v>
      </c>
      <c r="F359" s="6">
        <v>11773</v>
      </c>
      <c r="G359" s="7">
        <v>0</v>
      </c>
      <c r="H359" s="6">
        <v>12388</v>
      </c>
      <c r="I359" s="7">
        <f t="shared" si="68"/>
        <v>615</v>
      </c>
      <c r="J359" s="6">
        <v>0</v>
      </c>
      <c r="K359" s="6" t="s">
        <v>23</v>
      </c>
      <c r="L359" s="8">
        <v>0</v>
      </c>
      <c r="M359" s="8">
        <f t="shared" si="84"/>
        <v>4965</v>
      </c>
      <c r="N359" s="4" t="s">
        <v>24</v>
      </c>
      <c r="O359" s="6">
        <v>4</v>
      </c>
      <c r="P359" s="6">
        <v>200</v>
      </c>
      <c r="Q359" s="6">
        <v>7</v>
      </c>
      <c r="R359" s="4" t="s">
        <v>717</v>
      </c>
      <c r="S359" s="3">
        <v>995</v>
      </c>
      <c r="T359" s="4" t="s">
        <v>186</v>
      </c>
    </row>
    <row r="360" spans="1:20" ht="14.4">
      <c r="A360" s="3">
        <v>135</v>
      </c>
      <c r="B360" s="4" t="s">
        <v>452</v>
      </c>
      <c r="C360" s="4" t="s">
        <v>706</v>
      </c>
      <c r="D360" s="4" t="s">
        <v>718</v>
      </c>
      <c r="E360" s="6">
        <f t="shared" si="85"/>
        <v>0</v>
      </c>
      <c r="F360" s="6">
        <v>7099</v>
      </c>
      <c r="G360" s="7">
        <v>0</v>
      </c>
      <c r="H360" s="6">
        <v>7519</v>
      </c>
      <c r="I360" s="7">
        <f t="shared" si="68"/>
        <v>420</v>
      </c>
      <c r="J360" s="6">
        <v>0</v>
      </c>
      <c r="K360" s="6">
        <v>0</v>
      </c>
      <c r="L360" s="8">
        <v>0</v>
      </c>
      <c r="M360" s="8">
        <f t="shared" si="84"/>
        <v>3600</v>
      </c>
      <c r="N360" s="4" t="s">
        <v>24</v>
      </c>
      <c r="O360" s="6">
        <v>4</v>
      </c>
      <c r="P360" s="6">
        <v>200</v>
      </c>
      <c r="Q360" s="6">
        <v>7</v>
      </c>
      <c r="R360" s="4" t="s">
        <v>719</v>
      </c>
      <c r="S360" s="3">
        <v>995</v>
      </c>
      <c r="T360" s="4" t="s">
        <v>186</v>
      </c>
    </row>
    <row r="361" spans="1:20" ht="14.4">
      <c r="A361" s="3">
        <v>136</v>
      </c>
      <c r="B361" s="4" t="s">
        <v>452</v>
      </c>
      <c r="C361" s="4" t="s">
        <v>706</v>
      </c>
      <c r="D361" s="4" t="s">
        <v>720</v>
      </c>
      <c r="E361" s="6">
        <f t="shared" si="85"/>
        <v>0</v>
      </c>
      <c r="F361" s="6">
        <v>4270</v>
      </c>
      <c r="G361" s="7">
        <v>0</v>
      </c>
      <c r="H361" s="6">
        <v>4301</v>
      </c>
      <c r="I361" s="7">
        <f t="shared" si="68"/>
        <v>31</v>
      </c>
      <c r="J361" s="6">
        <v>0</v>
      </c>
      <c r="K361" s="6" t="s">
        <v>23</v>
      </c>
      <c r="L361" s="8">
        <v>0</v>
      </c>
      <c r="M361" s="8">
        <f t="shared" si="84"/>
        <v>877</v>
      </c>
      <c r="N361" s="4" t="s">
        <v>24</v>
      </c>
      <c r="O361" s="6">
        <v>4</v>
      </c>
      <c r="P361" s="6">
        <v>200</v>
      </c>
      <c r="Q361" s="6">
        <v>7</v>
      </c>
      <c r="R361" s="4" t="s">
        <v>621</v>
      </c>
      <c r="S361" s="3">
        <v>995</v>
      </c>
      <c r="T361" s="4" t="s">
        <v>186</v>
      </c>
    </row>
    <row r="362" spans="1:20" ht="14.4">
      <c r="A362" s="3">
        <v>137</v>
      </c>
      <c r="B362" s="4" t="s">
        <v>452</v>
      </c>
      <c r="C362" s="4" t="s">
        <v>721</v>
      </c>
      <c r="D362" s="4" t="s">
        <v>722</v>
      </c>
      <c r="E362" s="6">
        <f t="shared" si="85"/>
        <v>0</v>
      </c>
      <c r="F362" s="6">
        <v>0</v>
      </c>
      <c r="G362" s="7">
        <v>0</v>
      </c>
      <c r="H362" s="6">
        <v>0</v>
      </c>
      <c r="I362" s="7">
        <f t="shared" si="68"/>
        <v>0</v>
      </c>
      <c r="J362" s="6">
        <v>0</v>
      </c>
      <c r="K362" s="6">
        <v>0</v>
      </c>
      <c r="L362" s="8">
        <v>0</v>
      </c>
      <c r="M362" s="8">
        <v>0</v>
      </c>
      <c r="N362" s="4" t="s">
        <v>24</v>
      </c>
      <c r="O362" s="6">
        <v>4</v>
      </c>
      <c r="P362" s="6">
        <v>200</v>
      </c>
      <c r="Q362" s="6">
        <v>7</v>
      </c>
      <c r="R362" s="4"/>
      <c r="S362" s="3">
        <v>1290</v>
      </c>
      <c r="T362" s="4" t="s">
        <v>177</v>
      </c>
    </row>
    <row r="363" spans="1:20" ht="14.4">
      <c r="A363" s="3">
        <v>138</v>
      </c>
      <c r="B363" s="4" t="s">
        <v>452</v>
      </c>
      <c r="C363" s="4" t="s">
        <v>721</v>
      </c>
      <c r="D363" s="4" t="s">
        <v>723</v>
      </c>
      <c r="E363" s="6">
        <f t="shared" si="85"/>
        <v>0</v>
      </c>
      <c r="F363" s="6">
        <v>4119</v>
      </c>
      <c r="G363" s="7">
        <v>0</v>
      </c>
      <c r="H363" s="6">
        <v>4224</v>
      </c>
      <c r="I363" s="7">
        <f t="shared" si="68"/>
        <v>105</v>
      </c>
      <c r="J363" s="6">
        <v>0</v>
      </c>
      <c r="K363" s="6" t="s">
        <v>23</v>
      </c>
      <c r="L363" s="8">
        <v>0</v>
      </c>
      <c r="M363" s="8">
        <f t="shared" ref="M363:M365" si="86">I363*Q363+P363+O363*115</f>
        <v>1395</v>
      </c>
      <c r="N363" s="4" t="s">
        <v>24</v>
      </c>
      <c r="O363" s="6">
        <v>4</v>
      </c>
      <c r="P363" s="6">
        <v>200</v>
      </c>
      <c r="Q363" s="6">
        <v>7</v>
      </c>
      <c r="R363" s="4" t="s">
        <v>724</v>
      </c>
      <c r="S363" s="3">
        <v>1290</v>
      </c>
      <c r="T363" s="4" t="s">
        <v>177</v>
      </c>
    </row>
    <row r="364" spans="1:20" ht="14.4">
      <c r="A364" s="3">
        <v>139</v>
      </c>
      <c r="B364" s="4" t="s">
        <v>452</v>
      </c>
      <c r="C364" s="4" t="s">
        <v>721</v>
      </c>
      <c r="D364" s="4" t="s">
        <v>725</v>
      </c>
      <c r="E364" s="6">
        <f t="shared" si="85"/>
        <v>0</v>
      </c>
      <c r="F364" s="6">
        <v>17760</v>
      </c>
      <c r="G364" s="7">
        <v>0</v>
      </c>
      <c r="H364" s="6">
        <v>18054</v>
      </c>
      <c r="I364" s="7">
        <f t="shared" si="68"/>
        <v>294</v>
      </c>
      <c r="J364" s="6">
        <v>0</v>
      </c>
      <c r="K364" s="6" t="s">
        <v>23</v>
      </c>
      <c r="L364" s="8">
        <v>0</v>
      </c>
      <c r="M364" s="8">
        <f t="shared" si="86"/>
        <v>2718</v>
      </c>
      <c r="N364" s="4" t="s">
        <v>24</v>
      </c>
      <c r="O364" s="6">
        <v>4</v>
      </c>
      <c r="P364" s="6">
        <v>200</v>
      </c>
      <c r="Q364" s="6">
        <v>7</v>
      </c>
      <c r="R364" s="4" t="s">
        <v>726</v>
      </c>
      <c r="S364" s="3">
        <v>995</v>
      </c>
      <c r="T364" s="4" t="s">
        <v>186</v>
      </c>
    </row>
    <row r="365" spans="1:20" ht="14.4">
      <c r="A365" s="3">
        <v>140</v>
      </c>
      <c r="B365" s="4" t="s">
        <v>452</v>
      </c>
      <c r="C365" s="4" t="s">
        <v>721</v>
      </c>
      <c r="D365" s="4" t="s">
        <v>727</v>
      </c>
      <c r="E365" s="6">
        <f t="shared" si="85"/>
        <v>0</v>
      </c>
      <c r="F365" s="6">
        <v>8412</v>
      </c>
      <c r="G365" s="7">
        <v>0</v>
      </c>
      <c r="H365" s="6">
        <v>9044</v>
      </c>
      <c r="I365" s="7">
        <f t="shared" si="68"/>
        <v>632</v>
      </c>
      <c r="J365" s="6">
        <v>0</v>
      </c>
      <c r="K365" s="6" t="s">
        <v>23</v>
      </c>
      <c r="L365" s="8">
        <v>0</v>
      </c>
      <c r="M365" s="8">
        <f t="shared" si="86"/>
        <v>5084</v>
      </c>
      <c r="N365" s="4" t="s">
        <v>24</v>
      </c>
      <c r="O365" s="6">
        <v>4</v>
      </c>
      <c r="P365" s="6">
        <v>200</v>
      </c>
      <c r="Q365" s="6">
        <v>7</v>
      </c>
      <c r="R365" s="4" t="s">
        <v>728</v>
      </c>
      <c r="S365" s="3">
        <v>995</v>
      </c>
      <c r="T365" s="4" t="s">
        <v>186</v>
      </c>
    </row>
    <row r="366" spans="1:20" ht="14.4">
      <c r="A366" s="3">
        <v>141</v>
      </c>
      <c r="B366" s="4" t="s">
        <v>452</v>
      </c>
      <c r="C366" s="4" t="s">
        <v>721</v>
      </c>
      <c r="D366" s="4" t="s">
        <v>729</v>
      </c>
      <c r="E366" s="6">
        <f t="shared" si="85"/>
        <v>0</v>
      </c>
      <c r="F366" s="6">
        <v>0</v>
      </c>
      <c r="G366" s="7">
        <v>0</v>
      </c>
      <c r="H366" s="6">
        <v>0</v>
      </c>
      <c r="I366" s="7">
        <f t="shared" si="68"/>
        <v>0</v>
      </c>
      <c r="J366" s="6">
        <v>0</v>
      </c>
      <c r="K366" s="6">
        <v>0</v>
      </c>
      <c r="L366" s="8">
        <v>0</v>
      </c>
      <c r="M366" s="8">
        <v>0</v>
      </c>
      <c r="N366" s="4" t="s">
        <v>24</v>
      </c>
      <c r="O366" s="6">
        <v>4</v>
      </c>
      <c r="P366" s="6">
        <v>200</v>
      </c>
      <c r="Q366" s="6">
        <v>7</v>
      </c>
      <c r="R366" s="4"/>
      <c r="S366" s="3">
        <v>995</v>
      </c>
      <c r="T366" s="4" t="s">
        <v>186</v>
      </c>
    </row>
    <row r="367" spans="1:20" ht="14.4">
      <c r="A367" s="3">
        <v>142</v>
      </c>
      <c r="B367" s="4" t="s">
        <v>452</v>
      </c>
      <c r="C367" s="4" t="s">
        <v>721</v>
      </c>
      <c r="D367" s="4" t="s">
        <v>730</v>
      </c>
      <c r="E367" s="6">
        <f t="shared" si="85"/>
        <v>0</v>
      </c>
      <c r="F367" s="6">
        <v>0</v>
      </c>
      <c r="G367" s="7">
        <v>0</v>
      </c>
      <c r="H367" s="6">
        <v>0</v>
      </c>
      <c r="I367" s="7">
        <f t="shared" si="68"/>
        <v>0</v>
      </c>
      <c r="J367" s="6">
        <v>0</v>
      </c>
      <c r="K367" s="6">
        <v>0</v>
      </c>
      <c r="L367" s="8">
        <v>0</v>
      </c>
      <c r="M367" s="8">
        <v>0</v>
      </c>
      <c r="N367" s="4" t="s">
        <v>24</v>
      </c>
      <c r="O367" s="6">
        <v>4</v>
      </c>
      <c r="P367" s="6">
        <v>200</v>
      </c>
      <c r="Q367" s="6">
        <v>7</v>
      </c>
      <c r="R367" s="4"/>
      <c r="S367" s="3">
        <v>995</v>
      </c>
      <c r="T367" s="4" t="s">
        <v>186</v>
      </c>
    </row>
    <row r="368" spans="1:20" ht="14.4">
      <c r="A368" s="3">
        <v>143</v>
      </c>
      <c r="B368" s="4" t="s">
        <v>452</v>
      </c>
      <c r="C368" s="4" t="s">
        <v>721</v>
      </c>
      <c r="D368" s="4" t="s">
        <v>731</v>
      </c>
      <c r="E368" s="6">
        <f t="shared" si="85"/>
        <v>0</v>
      </c>
      <c r="F368" s="6">
        <v>639</v>
      </c>
      <c r="G368" s="7">
        <v>0</v>
      </c>
      <c r="H368" s="6">
        <v>916</v>
      </c>
      <c r="I368" s="7">
        <f t="shared" si="68"/>
        <v>277</v>
      </c>
      <c r="J368" s="6">
        <v>0</v>
      </c>
      <c r="K368" s="6">
        <v>0</v>
      </c>
      <c r="L368" s="8">
        <v>0</v>
      </c>
      <c r="M368" s="8">
        <f t="shared" ref="M368:M369" si="87">I368*Q368+P368+O368*115</f>
        <v>2599</v>
      </c>
      <c r="N368" s="4" t="s">
        <v>24</v>
      </c>
      <c r="O368" s="6">
        <v>4</v>
      </c>
      <c r="P368" s="6">
        <v>200</v>
      </c>
      <c r="Q368" s="6">
        <v>7</v>
      </c>
      <c r="R368" s="4" t="s">
        <v>732</v>
      </c>
      <c r="S368" s="3">
        <v>995</v>
      </c>
      <c r="T368" s="4" t="s">
        <v>186</v>
      </c>
    </row>
    <row r="369" spans="1:20" ht="14.4">
      <c r="A369" s="3">
        <v>144</v>
      </c>
      <c r="B369" s="4" t="s">
        <v>452</v>
      </c>
      <c r="C369" s="4" t="s">
        <v>721</v>
      </c>
      <c r="D369" s="4" t="s">
        <v>733</v>
      </c>
      <c r="E369" s="6">
        <f t="shared" si="85"/>
        <v>0</v>
      </c>
      <c r="F369" s="6">
        <v>8824</v>
      </c>
      <c r="G369" s="7">
        <v>0</v>
      </c>
      <c r="H369" s="6">
        <v>8938</v>
      </c>
      <c r="I369" s="7">
        <f t="shared" si="68"/>
        <v>114</v>
      </c>
      <c r="J369" s="6">
        <v>0</v>
      </c>
      <c r="K369" s="6" t="s">
        <v>23</v>
      </c>
      <c r="L369" s="8">
        <v>0</v>
      </c>
      <c r="M369" s="8">
        <f t="shared" si="87"/>
        <v>1458</v>
      </c>
      <c r="N369" s="4" t="s">
        <v>24</v>
      </c>
      <c r="O369" s="6">
        <v>4</v>
      </c>
      <c r="P369" s="6">
        <v>200</v>
      </c>
      <c r="Q369" s="6">
        <v>7</v>
      </c>
      <c r="R369" s="4" t="s">
        <v>372</v>
      </c>
      <c r="S369" s="3">
        <v>995</v>
      </c>
      <c r="T369" s="4" t="s">
        <v>186</v>
      </c>
    </row>
    <row r="370" spans="1:20" ht="14.4">
      <c r="A370" s="3">
        <v>145</v>
      </c>
      <c r="B370" s="4" t="s">
        <v>452</v>
      </c>
      <c r="C370" s="4" t="s">
        <v>734</v>
      </c>
      <c r="D370" s="4" t="s">
        <v>735</v>
      </c>
      <c r="E370" s="6">
        <f t="shared" si="85"/>
        <v>0</v>
      </c>
      <c r="F370" s="6">
        <v>0</v>
      </c>
      <c r="G370" s="7">
        <v>0</v>
      </c>
      <c r="H370" s="6">
        <v>0</v>
      </c>
      <c r="I370" s="7">
        <f t="shared" si="68"/>
        <v>0</v>
      </c>
      <c r="J370" s="6">
        <v>0</v>
      </c>
      <c r="K370" s="6">
        <v>0</v>
      </c>
      <c r="L370" s="8">
        <v>0</v>
      </c>
      <c r="M370" s="8">
        <v>0</v>
      </c>
      <c r="N370" s="4" t="s">
        <v>24</v>
      </c>
      <c r="O370" s="6">
        <v>4</v>
      </c>
      <c r="P370" s="6">
        <v>200</v>
      </c>
      <c r="Q370" s="6">
        <v>7</v>
      </c>
      <c r="R370" s="4" t="s">
        <v>736</v>
      </c>
      <c r="S370" s="3">
        <v>1290</v>
      </c>
      <c r="T370" s="4" t="s">
        <v>177</v>
      </c>
    </row>
    <row r="371" spans="1:20" ht="14.4">
      <c r="A371" s="3">
        <v>146</v>
      </c>
      <c r="B371" s="4" t="s">
        <v>452</v>
      </c>
      <c r="C371" s="4" t="s">
        <v>734</v>
      </c>
      <c r="D371" s="4" t="s">
        <v>737</v>
      </c>
      <c r="E371" s="6">
        <f t="shared" si="85"/>
        <v>0</v>
      </c>
      <c r="F371" s="6">
        <v>0</v>
      </c>
      <c r="G371" s="7">
        <v>0</v>
      </c>
      <c r="H371" s="6">
        <v>0</v>
      </c>
      <c r="I371" s="7">
        <f t="shared" si="68"/>
        <v>0</v>
      </c>
      <c r="J371" s="6">
        <v>0</v>
      </c>
      <c r="K371" s="6">
        <v>0</v>
      </c>
      <c r="L371" s="8">
        <v>0</v>
      </c>
      <c r="M371" s="8">
        <v>0</v>
      </c>
      <c r="N371" s="4" t="s">
        <v>24</v>
      </c>
      <c r="O371" s="6">
        <v>4</v>
      </c>
      <c r="P371" s="6">
        <v>200</v>
      </c>
      <c r="Q371" s="6">
        <v>7</v>
      </c>
      <c r="R371" s="4"/>
      <c r="S371" s="3">
        <v>1290</v>
      </c>
      <c r="T371" s="4" t="s">
        <v>177</v>
      </c>
    </row>
    <row r="372" spans="1:20" ht="14.4">
      <c r="A372" s="3">
        <v>147</v>
      </c>
      <c r="B372" s="4" t="s">
        <v>452</v>
      </c>
      <c r="C372" s="4" t="s">
        <v>734</v>
      </c>
      <c r="D372" s="4" t="s">
        <v>738</v>
      </c>
      <c r="E372" s="6">
        <f t="shared" si="85"/>
        <v>0</v>
      </c>
      <c r="F372" s="6">
        <v>0</v>
      </c>
      <c r="G372" s="7">
        <v>0</v>
      </c>
      <c r="H372" s="6">
        <v>0</v>
      </c>
      <c r="I372" s="7">
        <f t="shared" si="68"/>
        <v>0</v>
      </c>
      <c r="J372" s="6">
        <v>0</v>
      </c>
      <c r="K372" s="6">
        <v>0</v>
      </c>
      <c r="L372" s="8">
        <v>0</v>
      </c>
      <c r="M372" s="8">
        <v>0</v>
      </c>
      <c r="N372" s="4" t="s">
        <v>24</v>
      </c>
      <c r="O372" s="6">
        <v>4</v>
      </c>
      <c r="P372" s="6">
        <v>200</v>
      </c>
      <c r="Q372" s="6">
        <v>7</v>
      </c>
      <c r="R372" s="4"/>
      <c r="S372" s="3">
        <v>995</v>
      </c>
      <c r="T372" s="4" t="s">
        <v>186</v>
      </c>
    </row>
    <row r="373" spans="1:20" ht="14.4">
      <c r="A373" s="3">
        <v>148</v>
      </c>
      <c r="B373" s="4" t="s">
        <v>452</v>
      </c>
      <c r="C373" s="4" t="s">
        <v>734</v>
      </c>
      <c r="D373" s="4" t="s">
        <v>739</v>
      </c>
      <c r="E373" s="6">
        <f t="shared" si="85"/>
        <v>0</v>
      </c>
      <c r="F373" s="6">
        <v>0</v>
      </c>
      <c r="G373" s="7">
        <v>0</v>
      </c>
      <c r="H373" s="6">
        <v>0</v>
      </c>
      <c r="I373" s="7">
        <f t="shared" si="68"/>
        <v>0</v>
      </c>
      <c r="J373" s="6">
        <v>0</v>
      </c>
      <c r="K373" s="6">
        <v>0</v>
      </c>
      <c r="L373" s="8">
        <v>0</v>
      </c>
      <c r="M373" s="8">
        <v>0</v>
      </c>
      <c r="N373" s="4" t="s">
        <v>24</v>
      </c>
      <c r="O373" s="6">
        <v>4</v>
      </c>
      <c r="P373" s="6">
        <v>200</v>
      </c>
      <c r="Q373" s="6">
        <v>7</v>
      </c>
      <c r="R373" s="4"/>
      <c r="S373" s="3">
        <v>995</v>
      </c>
      <c r="T373" s="4" t="s">
        <v>186</v>
      </c>
    </row>
    <row r="374" spans="1:20" ht="14.4">
      <c r="A374" s="3">
        <v>149</v>
      </c>
      <c r="B374" s="4" t="s">
        <v>452</v>
      </c>
      <c r="C374" s="4" t="s">
        <v>734</v>
      </c>
      <c r="D374" s="4" t="s">
        <v>740</v>
      </c>
      <c r="E374" s="6">
        <f t="shared" si="85"/>
        <v>0</v>
      </c>
      <c r="F374" s="6">
        <v>0</v>
      </c>
      <c r="G374" s="7">
        <v>0</v>
      </c>
      <c r="H374" s="6">
        <v>0</v>
      </c>
      <c r="I374" s="7">
        <f t="shared" si="68"/>
        <v>0</v>
      </c>
      <c r="J374" s="6">
        <v>0</v>
      </c>
      <c r="K374" s="6">
        <v>0</v>
      </c>
      <c r="L374" s="8">
        <v>0</v>
      </c>
      <c r="M374" s="8">
        <v>0</v>
      </c>
      <c r="N374" s="4" t="s">
        <v>24</v>
      </c>
      <c r="O374" s="6">
        <v>4</v>
      </c>
      <c r="P374" s="6">
        <v>200</v>
      </c>
      <c r="Q374" s="6">
        <v>7</v>
      </c>
      <c r="R374" s="4"/>
      <c r="S374" s="3">
        <v>995</v>
      </c>
      <c r="T374" s="4" t="s">
        <v>186</v>
      </c>
    </row>
    <row r="375" spans="1:20" ht="14.4">
      <c r="A375" s="3">
        <v>150</v>
      </c>
      <c r="B375" s="4" t="s">
        <v>452</v>
      </c>
      <c r="C375" s="4" t="s">
        <v>734</v>
      </c>
      <c r="D375" s="4" t="s">
        <v>741</v>
      </c>
      <c r="E375" s="6">
        <f t="shared" si="85"/>
        <v>0</v>
      </c>
      <c r="F375" s="6">
        <v>0</v>
      </c>
      <c r="G375" s="7">
        <v>0</v>
      </c>
      <c r="H375" s="6">
        <v>0</v>
      </c>
      <c r="I375" s="7">
        <f t="shared" si="68"/>
        <v>0</v>
      </c>
      <c r="J375" s="6">
        <v>0</v>
      </c>
      <c r="K375" s="6">
        <v>0</v>
      </c>
      <c r="L375" s="8">
        <v>0</v>
      </c>
      <c r="M375" s="8">
        <v>0</v>
      </c>
      <c r="N375" s="4" t="s">
        <v>24</v>
      </c>
      <c r="O375" s="6">
        <v>4</v>
      </c>
      <c r="P375" s="6">
        <v>200</v>
      </c>
      <c r="Q375" s="6">
        <v>7</v>
      </c>
      <c r="R375" s="4"/>
      <c r="S375" s="3">
        <v>995</v>
      </c>
      <c r="T375" s="4" t="s">
        <v>186</v>
      </c>
    </row>
    <row r="376" spans="1:20" ht="14.4">
      <c r="A376" s="3">
        <v>151</v>
      </c>
      <c r="B376" s="4" t="s">
        <v>452</v>
      </c>
      <c r="C376" s="4" t="s">
        <v>734</v>
      </c>
      <c r="D376" s="4" t="s">
        <v>742</v>
      </c>
      <c r="E376" s="6">
        <f t="shared" si="85"/>
        <v>0</v>
      </c>
      <c r="F376" s="6">
        <v>77</v>
      </c>
      <c r="G376" s="7">
        <v>0</v>
      </c>
      <c r="H376" s="6">
        <v>516</v>
      </c>
      <c r="I376" s="7">
        <f t="shared" si="68"/>
        <v>439</v>
      </c>
      <c r="J376" s="6">
        <v>0</v>
      </c>
      <c r="K376" s="6" t="s">
        <v>23</v>
      </c>
      <c r="L376" s="8">
        <v>0</v>
      </c>
      <c r="M376" s="8">
        <f>I376*Q376+P376+O376*115</f>
        <v>3733</v>
      </c>
      <c r="N376" s="4" t="s">
        <v>24</v>
      </c>
      <c r="O376" s="6">
        <v>4</v>
      </c>
      <c r="P376" s="6">
        <v>200</v>
      </c>
      <c r="Q376" s="6">
        <v>7</v>
      </c>
      <c r="R376" s="4" t="s">
        <v>743</v>
      </c>
      <c r="S376" s="3">
        <v>995</v>
      </c>
      <c r="T376" s="4" t="s">
        <v>186</v>
      </c>
    </row>
    <row r="377" spans="1:20" ht="14.4">
      <c r="A377" s="3">
        <v>152</v>
      </c>
      <c r="B377" s="4" t="s">
        <v>452</v>
      </c>
      <c r="C377" s="4" t="s">
        <v>734</v>
      </c>
      <c r="D377" s="4" t="s">
        <v>744</v>
      </c>
      <c r="E377" s="6">
        <f t="shared" si="85"/>
        <v>0</v>
      </c>
      <c r="F377" s="6">
        <v>0</v>
      </c>
      <c r="G377" s="7">
        <v>0</v>
      </c>
      <c r="H377" s="6">
        <v>0</v>
      </c>
      <c r="I377" s="7">
        <f t="shared" si="68"/>
        <v>0</v>
      </c>
      <c r="J377" s="6">
        <v>0</v>
      </c>
      <c r="K377" s="6">
        <v>0</v>
      </c>
      <c r="L377" s="8">
        <v>0</v>
      </c>
      <c r="M377" s="8">
        <v>0</v>
      </c>
      <c r="N377" s="4" t="s">
        <v>24</v>
      </c>
      <c r="O377" s="6">
        <v>4</v>
      </c>
      <c r="P377" s="6">
        <v>200</v>
      </c>
      <c r="Q377" s="6">
        <v>7</v>
      </c>
      <c r="R377" s="4"/>
      <c r="S377" s="3">
        <v>995</v>
      </c>
      <c r="T377" s="4" t="s">
        <v>186</v>
      </c>
    </row>
    <row r="378" spans="1:20" ht="14.4">
      <c r="A378" s="3">
        <v>1</v>
      </c>
      <c r="B378" s="4" t="s">
        <v>745</v>
      </c>
      <c r="C378" s="4" t="s">
        <v>453</v>
      </c>
      <c r="D378" s="4" t="s">
        <v>746</v>
      </c>
      <c r="E378" s="6">
        <v>2111</v>
      </c>
      <c r="F378" s="6">
        <v>2171</v>
      </c>
      <c r="G378" s="7">
        <f t="shared" ref="G378:G384" si="88">F378-E378</f>
        <v>60</v>
      </c>
      <c r="H378" s="6">
        <v>2199</v>
      </c>
      <c r="I378" s="7">
        <f t="shared" si="68"/>
        <v>28</v>
      </c>
      <c r="J378" s="6">
        <v>0</v>
      </c>
      <c r="K378" s="6" t="s">
        <v>23</v>
      </c>
      <c r="L378" s="8">
        <f>G378*Q378+P378+O378*115</f>
        <v>1080</v>
      </c>
      <c r="M378" s="8">
        <f>I378*Q378+P378+O378*115</f>
        <v>856</v>
      </c>
      <c r="N378" s="4" t="s">
        <v>24</v>
      </c>
      <c r="O378" s="6">
        <v>4</v>
      </c>
      <c r="P378" s="6">
        <v>200</v>
      </c>
      <c r="Q378" s="6">
        <v>7</v>
      </c>
      <c r="R378" s="4" t="s">
        <v>747</v>
      </c>
      <c r="S378" s="3">
        <v>455</v>
      </c>
      <c r="T378" s="4" t="s">
        <v>748</v>
      </c>
    </row>
    <row r="379" spans="1:20" ht="14.4">
      <c r="A379" s="3">
        <v>2</v>
      </c>
      <c r="B379" s="4" t="s">
        <v>745</v>
      </c>
      <c r="C379" s="4" t="s">
        <v>453</v>
      </c>
      <c r="D379" s="4" t="s">
        <v>749</v>
      </c>
      <c r="E379" s="6">
        <f>J379</f>
        <v>0</v>
      </c>
      <c r="F379" s="6">
        <v>0</v>
      </c>
      <c r="G379" s="7">
        <f t="shared" si="88"/>
        <v>0</v>
      </c>
      <c r="H379" s="6">
        <v>0</v>
      </c>
      <c r="I379" s="7">
        <f t="shared" si="68"/>
        <v>0</v>
      </c>
      <c r="J379" s="6">
        <v>0</v>
      </c>
      <c r="K379" s="6">
        <v>0</v>
      </c>
      <c r="L379" s="8">
        <v>0</v>
      </c>
      <c r="M379" s="8">
        <v>0</v>
      </c>
      <c r="N379" s="4" t="s">
        <v>24</v>
      </c>
      <c r="O379" s="6">
        <v>4</v>
      </c>
      <c r="P379" s="6">
        <v>200</v>
      </c>
      <c r="Q379" s="6">
        <v>7</v>
      </c>
      <c r="R379" s="4"/>
      <c r="S379" s="3">
        <v>595</v>
      </c>
      <c r="T379" s="4" t="s">
        <v>750</v>
      </c>
    </row>
    <row r="380" spans="1:20" ht="14.4">
      <c r="A380" s="3">
        <v>3</v>
      </c>
      <c r="B380" s="4" t="s">
        <v>745</v>
      </c>
      <c r="C380" s="4" t="s">
        <v>453</v>
      </c>
      <c r="D380" s="4" t="s">
        <v>751</v>
      </c>
      <c r="E380" s="6">
        <v>12887</v>
      </c>
      <c r="F380" s="6">
        <v>13198</v>
      </c>
      <c r="G380" s="7">
        <f t="shared" si="88"/>
        <v>311</v>
      </c>
      <c r="H380" s="6">
        <v>14053</v>
      </c>
      <c r="I380" s="7">
        <f t="shared" si="68"/>
        <v>855</v>
      </c>
      <c r="J380" s="6">
        <v>0</v>
      </c>
      <c r="K380" s="6" t="s">
        <v>23</v>
      </c>
      <c r="L380" s="8">
        <f>G380*Q380+P380+O380*115</f>
        <v>2837</v>
      </c>
      <c r="M380" s="8">
        <f t="shared" ref="M380:M386" si="89">I380*Q380+P380+O380*115</f>
        <v>6645</v>
      </c>
      <c r="N380" s="4" t="s">
        <v>24</v>
      </c>
      <c r="O380" s="6">
        <v>4</v>
      </c>
      <c r="P380" s="6">
        <v>200</v>
      </c>
      <c r="Q380" s="6">
        <v>7</v>
      </c>
      <c r="R380" s="4" t="s">
        <v>752</v>
      </c>
      <c r="S380" s="3">
        <v>850</v>
      </c>
      <c r="T380" s="4" t="s">
        <v>753</v>
      </c>
    </row>
    <row r="381" spans="1:20" ht="14.4">
      <c r="A381" s="3">
        <v>4</v>
      </c>
      <c r="B381" s="4" t="s">
        <v>745</v>
      </c>
      <c r="C381" s="4" t="s">
        <v>453</v>
      </c>
      <c r="D381" s="4" t="s">
        <v>754</v>
      </c>
      <c r="E381" s="6">
        <f>J381</f>
        <v>0</v>
      </c>
      <c r="F381" s="6">
        <v>0</v>
      </c>
      <c r="G381" s="7">
        <f t="shared" si="88"/>
        <v>0</v>
      </c>
      <c r="H381" s="6">
        <v>0</v>
      </c>
      <c r="I381" s="7">
        <f t="shared" si="68"/>
        <v>0</v>
      </c>
      <c r="J381" s="6">
        <v>0</v>
      </c>
      <c r="K381" s="6" t="s">
        <v>23</v>
      </c>
      <c r="L381" s="8">
        <v>0</v>
      </c>
      <c r="M381" s="8">
        <f t="shared" si="89"/>
        <v>660</v>
      </c>
      <c r="N381" s="4" t="s">
        <v>24</v>
      </c>
      <c r="O381" s="6">
        <v>4</v>
      </c>
      <c r="P381" s="6">
        <v>200</v>
      </c>
      <c r="Q381" s="6">
        <v>7</v>
      </c>
      <c r="R381" s="4" t="s">
        <v>755</v>
      </c>
      <c r="S381" s="3">
        <v>850</v>
      </c>
      <c r="T381" s="4" t="s">
        <v>753</v>
      </c>
    </row>
    <row r="382" spans="1:20" ht="14.4">
      <c r="A382" s="3">
        <v>5</v>
      </c>
      <c r="B382" s="4" t="s">
        <v>745</v>
      </c>
      <c r="C382" s="4" t="s">
        <v>453</v>
      </c>
      <c r="D382" s="4" t="s">
        <v>756</v>
      </c>
      <c r="E382" s="6">
        <v>6105</v>
      </c>
      <c r="F382" s="6">
        <v>6351</v>
      </c>
      <c r="G382" s="7">
        <f t="shared" si="88"/>
        <v>246</v>
      </c>
      <c r="H382" s="6">
        <v>6672</v>
      </c>
      <c r="I382" s="7">
        <f t="shared" si="68"/>
        <v>321</v>
      </c>
      <c r="J382" s="6">
        <v>0</v>
      </c>
      <c r="K382" s="6">
        <v>0</v>
      </c>
      <c r="L382" s="8">
        <f t="shared" ref="L382:L384" si="90">G382*Q382+P382+O382*115</f>
        <v>2382</v>
      </c>
      <c r="M382" s="8">
        <f t="shared" si="89"/>
        <v>2907</v>
      </c>
      <c r="N382" s="4" t="s">
        <v>24</v>
      </c>
      <c r="O382" s="6">
        <v>4</v>
      </c>
      <c r="P382" s="6">
        <v>200</v>
      </c>
      <c r="Q382" s="6">
        <v>7</v>
      </c>
      <c r="R382" s="4" t="s">
        <v>757</v>
      </c>
      <c r="S382" s="3">
        <v>850</v>
      </c>
      <c r="T382" s="4" t="s">
        <v>753</v>
      </c>
    </row>
    <row r="383" spans="1:20" ht="14.4">
      <c r="A383" s="3">
        <v>6</v>
      </c>
      <c r="B383" s="4" t="s">
        <v>745</v>
      </c>
      <c r="C383" s="4" t="s">
        <v>468</v>
      </c>
      <c r="D383" s="4" t="s">
        <v>758</v>
      </c>
      <c r="E383" s="6">
        <v>5041</v>
      </c>
      <c r="F383" s="6">
        <v>5233</v>
      </c>
      <c r="G383" s="7">
        <f t="shared" si="88"/>
        <v>192</v>
      </c>
      <c r="H383" s="6">
        <v>5478</v>
      </c>
      <c r="I383" s="7">
        <f t="shared" si="68"/>
        <v>245</v>
      </c>
      <c r="J383" s="6">
        <v>0</v>
      </c>
      <c r="K383" s="6" t="s">
        <v>23</v>
      </c>
      <c r="L383" s="8">
        <f t="shared" si="90"/>
        <v>2004</v>
      </c>
      <c r="M383" s="8">
        <f t="shared" si="89"/>
        <v>2375</v>
      </c>
      <c r="N383" s="4" t="s">
        <v>24</v>
      </c>
      <c r="O383" s="6">
        <v>4</v>
      </c>
      <c r="P383" s="6">
        <v>200</v>
      </c>
      <c r="Q383" s="6">
        <v>7</v>
      </c>
      <c r="R383" s="4" t="s">
        <v>759</v>
      </c>
      <c r="S383" s="3">
        <v>455</v>
      </c>
      <c r="T383" s="4" t="s">
        <v>748</v>
      </c>
    </row>
    <row r="384" spans="1:20" ht="14.4">
      <c r="A384" s="3">
        <v>7</v>
      </c>
      <c r="B384" s="4" t="s">
        <v>745</v>
      </c>
      <c r="C384" s="4" t="s">
        <v>468</v>
      </c>
      <c r="D384" s="4" t="s">
        <v>760</v>
      </c>
      <c r="E384" s="6">
        <v>7931</v>
      </c>
      <c r="F384" s="6">
        <v>8134</v>
      </c>
      <c r="G384" s="7">
        <f t="shared" si="88"/>
        <v>203</v>
      </c>
      <c r="H384" s="6">
        <v>8297</v>
      </c>
      <c r="I384" s="7">
        <f t="shared" si="68"/>
        <v>163</v>
      </c>
      <c r="J384" s="6">
        <v>0</v>
      </c>
      <c r="K384" s="6" t="s">
        <v>23</v>
      </c>
      <c r="L384" s="8">
        <f t="shared" si="90"/>
        <v>2081</v>
      </c>
      <c r="M384" s="8">
        <f t="shared" si="89"/>
        <v>1801</v>
      </c>
      <c r="N384" s="4" t="s">
        <v>24</v>
      </c>
      <c r="O384" s="6">
        <v>4</v>
      </c>
      <c r="P384" s="6">
        <v>200</v>
      </c>
      <c r="Q384" s="6">
        <v>7</v>
      </c>
      <c r="R384" s="4" t="s">
        <v>647</v>
      </c>
      <c r="S384" s="3">
        <v>595</v>
      </c>
      <c r="T384" s="4" t="s">
        <v>750</v>
      </c>
    </row>
    <row r="385" spans="1:20" ht="14.4">
      <c r="A385" s="3">
        <v>8</v>
      </c>
      <c r="B385" s="4" t="s">
        <v>745</v>
      </c>
      <c r="C385" s="4" t="s">
        <v>468</v>
      </c>
      <c r="D385" s="4" t="s">
        <v>761</v>
      </c>
      <c r="E385" s="6">
        <f>J385</f>
        <v>0</v>
      </c>
      <c r="F385" s="6">
        <v>39</v>
      </c>
      <c r="G385" s="7">
        <v>0</v>
      </c>
      <c r="H385" s="6">
        <v>130</v>
      </c>
      <c r="I385" s="7">
        <f t="shared" si="68"/>
        <v>91</v>
      </c>
      <c r="J385" s="6">
        <v>0</v>
      </c>
      <c r="K385" s="6">
        <v>0</v>
      </c>
      <c r="L385" s="8">
        <v>0</v>
      </c>
      <c r="M385" s="8">
        <f t="shared" si="89"/>
        <v>1297</v>
      </c>
      <c r="N385" s="4" t="s">
        <v>24</v>
      </c>
      <c r="O385" s="6">
        <v>4</v>
      </c>
      <c r="P385" s="6">
        <v>200</v>
      </c>
      <c r="Q385" s="6">
        <v>7</v>
      </c>
      <c r="R385" s="4" t="s">
        <v>762</v>
      </c>
      <c r="S385" s="3">
        <v>850</v>
      </c>
      <c r="T385" s="4" t="s">
        <v>753</v>
      </c>
    </row>
    <row r="386" spans="1:20" ht="14.4">
      <c r="A386" s="3">
        <v>9</v>
      </c>
      <c r="B386" s="4" t="s">
        <v>745</v>
      </c>
      <c r="C386" s="4" t="s">
        <v>468</v>
      </c>
      <c r="D386" s="4" t="s">
        <v>763</v>
      </c>
      <c r="E386" s="6">
        <v>2409</v>
      </c>
      <c r="F386" s="6">
        <v>2708</v>
      </c>
      <c r="G386" s="7">
        <f t="shared" ref="G386:G486" si="91">F386-E386</f>
        <v>299</v>
      </c>
      <c r="H386" s="6">
        <v>2736</v>
      </c>
      <c r="I386" s="7">
        <f t="shared" si="68"/>
        <v>28</v>
      </c>
      <c r="J386" s="6">
        <v>0</v>
      </c>
      <c r="K386" s="6">
        <v>0</v>
      </c>
      <c r="L386" s="8">
        <f>G386*Q386+P386+O386*115</f>
        <v>2753</v>
      </c>
      <c r="M386" s="8">
        <f t="shared" si="89"/>
        <v>856</v>
      </c>
      <c r="N386" s="4" t="s">
        <v>24</v>
      </c>
      <c r="O386" s="6">
        <v>4</v>
      </c>
      <c r="P386" s="6">
        <v>200</v>
      </c>
      <c r="Q386" s="6">
        <v>7</v>
      </c>
      <c r="R386" s="4" t="s">
        <v>764</v>
      </c>
      <c r="S386" s="3">
        <v>850</v>
      </c>
      <c r="T386" s="4" t="s">
        <v>753</v>
      </c>
    </row>
    <row r="387" spans="1:20" ht="14.4">
      <c r="A387" s="3">
        <v>10</v>
      </c>
      <c r="B387" s="4" t="s">
        <v>745</v>
      </c>
      <c r="C387" s="4" t="s">
        <v>468</v>
      </c>
      <c r="D387" s="4" t="s">
        <v>765</v>
      </c>
      <c r="E387" s="6">
        <f>J387</f>
        <v>0</v>
      </c>
      <c r="F387" s="6">
        <v>0</v>
      </c>
      <c r="G387" s="7">
        <f t="shared" si="91"/>
        <v>0</v>
      </c>
      <c r="H387" s="6">
        <v>0</v>
      </c>
      <c r="I387" s="7">
        <f t="shared" si="68"/>
        <v>0</v>
      </c>
      <c r="J387" s="6">
        <v>0</v>
      </c>
      <c r="K387" s="6">
        <v>0</v>
      </c>
      <c r="L387" s="8">
        <v>0</v>
      </c>
      <c r="M387" s="8">
        <v>0</v>
      </c>
      <c r="N387" s="4" t="s">
        <v>24</v>
      </c>
      <c r="O387" s="6">
        <v>4</v>
      </c>
      <c r="P387" s="6">
        <v>200</v>
      </c>
      <c r="Q387" s="6">
        <v>7</v>
      </c>
      <c r="R387" s="4"/>
      <c r="S387" s="3">
        <v>1100</v>
      </c>
      <c r="T387" s="4" t="s">
        <v>766</v>
      </c>
    </row>
    <row r="388" spans="1:20" ht="14.4">
      <c r="A388" s="3">
        <v>11</v>
      </c>
      <c r="B388" s="4" t="s">
        <v>745</v>
      </c>
      <c r="C388" s="4" t="s">
        <v>468</v>
      </c>
      <c r="D388" s="4" t="s">
        <v>767</v>
      </c>
      <c r="E388" s="6">
        <v>1334</v>
      </c>
      <c r="F388" s="6">
        <v>1887</v>
      </c>
      <c r="G388" s="7">
        <f t="shared" si="91"/>
        <v>553</v>
      </c>
      <c r="H388" s="6">
        <v>2458</v>
      </c>
      <c r="I388" s="7">
        <f t="shared" si="68"/>
        <v>571</v>
      </c>
      <c r="J388" s="6">
        <v>0</v>
      </c>
      <c r="K388" s="6" t="s">
        <v>23</v>
      </c>
      <c r="L388" s="8">
        <f t="shared" ref="L388:L390" si="92">G388*Q388+P388+O388*115</f>
        <v>4531</v>
      </c>
      <c r="M388" s="8">
        <f t="shared" ref="M388:M390" si="93">I388*Q388+P388+O388*115</f>
        <v>4657</v>
      </c>
      <c r="N388" s="4" t="s">
        <v>24</v>
      </c>
      <c r="O388" s="6">
        <v>4</v>
      </c>
      <c r="P388" s="6">
        <v>200</v>
      </c>
      <c r="Q388" s="6">
        <v>7</v>
      </c>
      <c r="R388" s="4" t="s">
        <v>768</v>
      </c>
      <c r="S388" s="3">
        <v>850</v>
      </c>
      <c r="T388" s="4" t="s">
        <v>753</v>
      </c>
    </row>
    <row r="389" spans="1:20" ht="14.4">
      <c r="A389" s="3">
        <v>12</v>
      </c>
      <c r="B389" s="4" t="s">
        <v>745</v>
      </c>
      <c r="C389" s="4" t="s">
        <v>468</v>
      </c>
      <c r="D389" s="4" t="s">
        <v>769</v>
      </c>
      <c r="E389" s="6">
        <v>13998</v>
      </c>
      <c r="F389" s="6">
        <v>14552</v>
      </c>
      <c r="G389" s="7">
        <f t="shared" si="91"/>
        <v>554</v>
      </c>
      <c r="H389" s="6">
        <v>15191</v>
      </c>
      <c r="I389" s="7">
        <f t="shared" si="68"/>
        <v>639</v>
      </c>
      <c r="J389" s="6">
        <v>0</v>
      </c>
      <c r="K389" s="6" t="s">
        <v>23</v>
      </c>
      <c r="L389" s="8">
        <f t="shared" si="92"/>
        <v>4538</v>
      </c>
      <c r="M389" s="8">
        <f t="shared" si="93"/>
        <v>5133</v>
      </c>
      <c r="N389" s="4" t="s">
        <v>24</v>
      </c>
      <c r="O389" s="6">
        <v>4</v>
      </c>
      <c r="P389" s="6">
        <v>200</v>
      </c>
      <c r="Q389" s="6">
        <v>7</v>
      </c>
      <c r="R389" s="4" t="s">
        <v>770</v>
      </c>
      <c r="S389" s="3">
        <v>850</v>
      </c>
      <c r="T389" s="4" t="s">
        <v>753</v>
      </c>
    </row>
    <row r="390" spans="1:20" ht="14.4">
      <c r="A390" s="3">
        <v>13</v>
      </c>
      <c r="B390" s="4" t="s">
        <v>745</v>
      </c>
      <c r="C390" s="4" t="s">
        <v>468</v>
      </c>
      <c r="D390" s="4" t="s">
        <v>771</v>
      </c>
      <c r="E390" s="6">
        <v>9195</v>
      </c>
      <c r="F390" s="6">
        <v>9707</v>
      </c>
      <c r="G390" s="7">
        <f t="shared" si="91"/>
        <v>512</v>
      </c>
      <c r="H390" s="6">
        <v>10236</v>
      </c>
      <c r="I390" s="7">
        <f t="shared" si="68"/>
        <v>529</v>
      </c>
      <c r="J390" s="6">
        <v>0</v>
      </c>
      <c r="K390" s="6" t="s">
        <v>23</v>
      </c>
      <c r="L390" s="8">
        <f t="shared" si="92"/>
        <v>4244</v>
      </c>
      <c r="M390" s="8">
        <f t="shared" si="93"/>
        <v>4363</v>
      </c>
      <c r="N390" s="4" t="s">
        <v>24</v>
      </c>
      <c r="O390" s="6">
        <v>4</v>
      </c>
      <c r="P390" s="6">
        <v>200</v>
      </c>
      <c r="Q390" s="6">
        <v>7</v>
      </c>
      <c r="R390" s="4" t="s">
        <v>772</v>
      </c>
      <c r="S390" s="3">
        <v>850</v>
      </c>
      <c r="T390" s="4" t="s">
        <v>753</v>
      </c>
    </row>
    <row r="391" spans="1:20" ht="14.4">
      <c r="A391" s="3">
        <v>14</v>
      </c>
      <c r="B391" s="4" t="s">
        <v>745</v>
      </c>
      <c r="C391" s="4" t="s">
        <v>483</v>
      </c>
      <c r="D391" s="4" t="s">
        <v>773</v>
      </c>
      <c r="E391" s="6">
        <f>J391</f>
        <v>0</v>
      </c>
      <c r="F391" s="6">
        <v>0</v>
      </c>
      <c r="G391" s="7">
        <f t="shared" si="91"/>
        <v>0</v>
      </c>
      <c r="H391" s="6">
        <v>0</v>
      </c>
      <c r="I391" s="7">
        <f t="shared" si="68"/>
        <v>0</v>
      </c>
      <c r="J391" s="6">
        <v>0</v>
      </c>
      <c r="K391" s="6">
        <v>0</v>
      </c>
      <c r="L391" s="8">
        <v>0</v>
      </c>
      <c r="M391" s="8">
        <v>0</v>
      </c>
      <c r="N391" s="4" t="s">
        <v>24</v>
      </c>
      <c r="O391" s="6">
        <v>4</v>
      </c>
      <c r="P391" s="6">
        <v>200</v>
      </c>
      <c r="Q391" s="6">
        <v>7</v>
      </c>
      <c r="R391" s="4"/>
      <c r="S391" s="3">
        <v>455</v>
      </c>
      <c r="T391" s="4" t="s">
        <v>748</v>
      </c>
    </row>
    <row r="392" spans="1:20" ht="14.4">
      <c r="A392" s="3">
        <v>15</v>
      </c>
      <c r="B392" s="4" t="s">
        <v>745</v>
      </c>
      <c r="C392" s="4" t="s">
        <v>483</v>
      </c>
      <c r="D392" s="4" t="s">
        <v>774</v>
      </c>
      <c r="E392" s="6">
        <v>778</v>
      </c>
      <c r="F392" s="6">
        <v>793</v>
      </c>
      <c r="G392" s="7">
        <f t="shared" si="91"/>
        <v>15</v>
      </c>
      <c r="H392" s="6">
        <v>835</v>
      </c>
      <c r="I392" s="7">
        <f t="shared" si="68"/>
        <v>42</v>
      </c>
      <c r="J392" s="6">
        <v>0</v>
      </c>
      <c r="K392" s="6">
        <v>0</v>
      </c>
      <c r="L392" s="8">
        <f t="shared" ref="L392:L398" si="94">G392*Q392+P392+O392*115</f>
        <v>765</v>
      </c>
      <c r="M392" s="8">
        <f t="shared" ref="M392:M398" si="95">I392*Q392+P392+O392*115</f>
        <v>954</v>
      </c>
      <c r="N392" s="4" t="s">
        <v>24</v>
      </c>
      <c r="O392" s="6">
        <v>4</v>
      </c>
      <c r="P392" s="6">
        <v>200</v>
      </c>
      <c r="Q392" s="6">
        <v>7</v>
      </c>
      <c r="R392" s="4" t="s">
        <v>775</v>
      </c>
      <c r="S392" s="3">
        <v>595</v>
      </c>
      <c r="T392" s="4" t="s">
        <v>750</v>
      </c>
    </row>
    <row r="393" spans="1:20" ht="14.4">
      <c r="A393" s="3">
        <v>16</v>
      </c>
      <c r="B393" s="4" t="s">
        <v>745</v>
      </c>
      <c r="C393" s="4" t="s">
        <v>483</v>
      </c>
      <c r="D393" s="4" t="s">
        <v>776</v>
      </c>
      <c r="E393" s="6">
        <v>2946</v>
      </c>
      <c r="F393" s="6">
        <v>3298</v>
      </c>
      <c r="G393" s="7">
        <f t="shared" si="91"/>
        <v>352</v>
      </c>
      <c r="H393" s="6">
        <v>3661</v>
      </c>
      <c r="I393" s="7">
        <f t="shared" si="68"/>
        <v>363</v>
      </c>
      <c r="J393" s="6">
        <v>0</v>
      </c>
      <c r="K393" s="6">
        <v>0</v>
      </c>
      <c r="L393" s="8">
        <f t="shared" si="94"/>
        <v>3124</v>
      </c>
      <c r="M393" s="8">
        <f t="shared" si="95"/>
        <v>3201</v>
      </c>
      <c r="N393" s="4" t="s">
        <v>24</v>
      </c>
      <c r="O393" s="6">
        <v>4</v>
      </c>
      <c r="P393" s="6">
        <v>200</v>
      </c>
      <c r="Q393" s="6">
        <v>7</v>
      </c>
      <c r="R393" s="4" t="s">
        <v>777</v>
      </c>
      <c r="S393" s="3">
        <v>850</v>
      </c>
      <c r="T393" s="4" t="s">
        <v>753</v>
      </c>
    </row>
    <row r="394" spans="1:20" ht="14.4">
      <c r="A394" s="3">
        <v>17</v>
      </c>
      <c r="B394" s="4" t="s">
        <v>745</v>
      </c>
      <c r="C394" s="4" t="s">
        <v>483</v>
      </c>
      <c r="D394" s="4" t="s">
        <v>778</v>
      </c>
      <c r="E394" s="6">
        <v>5266</v>
      </c>
      <c r="F394" s="6">
        <v>5589</v>
      </c>
      <c r="G394" s="7">
        <f t="shared" si="91"/>
        <v>323</v>
      </c>
      <c r="H394" s="6">
        <v>5986</v>
      </c>
      <c r="I394" s="7">
        <f t="shared" si="68"/>
        <v>397</v>
      </c>
      <c r="J394" s="6">
        <v>0</v>
      </c>
      <c r="K394" s="6" t="s">
        <v>23</v>
      </c>
      <c r="L394" s="8">
        <f t="shared" si="94"/>
        <v>2921</v>
      </c>
      <c r="M394" s="8">
        <f t="shared" si="95"/>
        <v>3439</v>
      </c>
      <c r="N394" s="4" t="s">
        <v>24</v>
      </c>
      <c r="O394" s="6">
        <v>4</v>
      </c>
      <c r="P394" s="6">
        <v>200</v>
      </c>
      <c r="Q394" s="6">
        <v>7</v>
      </c>
      <c r="R394" s="4" t="s">
        <v>779</v>
      </c>
      <c r="S394" s="3">
        <v>850</v>
      </c>
      <c r="T394" s="4" t="s">
        <v>753</v>
      </c>
    </row>
    <row r="395" spans="1:20" ht="14.4">
      <c r="A395" s="3">
        <v>18</v>
      </c>
      <c r="B395" s="4" t="s">
        <v>745</v>
      </c>
      <c r="C395" s="4" t="s">
        <v>483</v>
      </c>
      <c r="D395" s="10" t="s">
        <v>780</v>
      </c>
      <c r="E395" s="6">
        <v>758</v>
      </c>
      <c r="F395" s="6">
        <v>1042</v>
      </c>
      <c r="G395" s="7">
        <f t="shared" si="91"/>
        <v>284</v>
      </c>
      <c r="H395" s="6">
        <v>1404</v>
      </c>
      <c r="I395" s="7">
        <f t="shared" si="68"/>
        <v>362</v>
      </c>
      <c r="J395" s="6">
        <v>0</v>
      </c>
      <c r="K395" s="6">
        <v>0</v>
      </c>
      <c r="L395" s="8">
        <f t="shared" si="94"/>
        <v>2648</v>
      </c>
      <c r="M395" s="8">
        <f t="shared" si="95"/>
        <v>3194</v>
      </c>
      <c r="N395" s="4" t="s">
        <v>24</v>
      </c>
      <c r="O395" s="6">
        <v>4</v>
      </c>
      <c r="P395" s="6">
        <v>200</v>
      </c>
      <c r="Q395" s="6">
        <v>7</v>
      </c>
      <c r="R395" s="4"/>
      <c r="S395" s="3">
        <v>1100</v>
      </c>
      <c r="T395" s="4" t="s">
        <v>766</v>
      </c>
    </row>
    <row r="396" spans="1:20" ht="14.4">
      <c r="A396" s="3">
        <v>19</v>
      </c>
      <c r="B396" s="4" t="s">
        <v>745</v>
      </c>
      <c r="C396" s="4" t="s">
        <v>483</v>
      </c>
      <c r="D396" s="4" t="s">
        <v>781</v>
      </c>
      <c r="E396" s="6">
        <v>12558</v>
      </c>
      <c r="F396" s="6">
        <v>12883</v>
      </c>
      <c r="G396" s="7">
        <f t="shared" si="91"/>
        <v>325</v>
      </c>
      <c r="H396" s="6">
        <v>12985</v>
      </c>
      <c r="I396" s="7">
        <f t="shared" si="68"/>
        <v>102</v>
      </c>
      <c r="J396" s="6">
        <v>0</v>
      </c>
      <c r="K396" s="6">
        <v>0</v>
      </c>
      <c r="L396" s="8">
        <f t="shared" si="94"/>
        <v>2935</v>
      </c>
      <c r="M396" s="8">
        <f t="shared" si="95"/>
        <v>1374</v>
      </c>
      <c r="N396" s="4" t="s">
        <v>24</v>
      </c>
      <c r="O396" s="6">
        <v>4</v>
      </c>
      <c r="P396" s="6">
        <v>200</v>
      </c>
      <c r="Q396" s="6">
        <v>7</v>
      </c>
      <c r="R396" s="4" t="s">
        <v>782</v>
      </c>
      <c r="S396" s="3">
        <v>850</v>
      </c>
      <c r="T396" s="4" t="s">
        <v>753</v>
      </c>
    </row>
    <row r="397" spans="1:20" ht="14.4">
      <c r="A397" s="3">
        <v>20</v>
      </c>
      <c r="B397" s="4" t="s">
        <v>745</v>
      </c>
      <c r="C397" s="4" t="s">
        <v>483</v>
      </c>
      <c r="D397" s="4" t="s">
        <v>783</v>
      </c>
      <c r="E397" s="6">
        <v>5414</v>
      </c>
      <c r="F397" s="6">
        <v>5564</v>
      </c>
      <c r="G397" s="7">
        <f t="shared" si="91"/>
        <v>150</v>
      </c>
      <c r="H397" s="6">
        <v>5737</v>
      </c>
      <c r="I397" s="7">
        <f t="shared" si="68"/>
        <v>173</v>
      </c>
      <c r="J397" s="6">
        <v>0</v>
      </c>
      <c r="K397" s="6" t="s">
        <v>23</v>
      </c>
      <c r="L397" s="8">
        <f t="shared" si="94"/>
        <v>1710</v>
      </c>
      <c r="M397" s="8">
        <f t="shared" si="95"/>
        <v>1871</v>
      </c>
      <c r="N397" s="4" t="s">
        <v>24</v>
      </c>
      <c r="O397" s="6">
        <v>4</v>
      </c>
      <c r="P397" s="6">
        <v>200</v>
      </c>
      <c r="Q397" s="6">
        <v>7</v>
      </c>
      <c r="R397" s="4" t="s">
        <v>784</v>
      </c>
      <c r="S397" s="3">
        <v>850</v>
      </c>
      <c r="T397" s="4" t="s">
        <v>753</v>
      </c>
    </row>
    <row r="398" spans="1:20" ht="14.4">
      <c r="A398" s="3">
        <v>21</v>
      </c>
      <c r="B398" s="4" t="s">
        <v>745</v>
      </c>
      <c r="C398" s="4" t="s">
        <v>483</v>
      </c>
      <c r="D398" s="4" t="s">
        <v>785</v>
      </c>
      <c r="E398" s="6">
        <v>3413</v>
      </c>
      <c r="F398" s="6">
        <v>3542</v>
      </c>
      <c r="G398" s="7">
        <f t="shared" si="91"/>
        <v>129</v>
      </c>
      <c r="H398" s="6">
        <v>3629</v>
      </c>
      <c r="I398" s="7">
        <f t="shared" si="68"/>
        <v>87</v>
      </c>
      <c r="J398" s="6">
        <v>0</v>
      </c>
      <c r="K398" s="6" t="s">
        <v>23</v>
      </c>
      <c r="L398" s="8">
        <f t="shared" si="94"/>
        <v>1563</v>
      </c>
      <c r="M398" s="8">
        <f t="shared" si="95"/>
        <v>1269</v>
      </c>
      <c r="N398" s="4" t="s">
        <v>24</v>
      </c>
      <c r="O398" s="6">
        <v>4</v>
      </c>
      <c r="P398" s="6">
        <v>200</v>
      </c>
      <c r="Q398" s="6">
        <v>7</v>
      </c>
      <c r="R398" s="4" t="s">
        <v>786</v>
      </c>
      <c r="S398" s="3">
        <v>850</v>
      </c>
      <c r="T398" s="4" t="s">
        <v>753</v>
      </c>
    </row>
    <row r="399" spans="1:20" ht="14.4">
      <c r="A399" s="3">
        <v>22</v>
      </c>
      <c r="B399" s="4" t="s">
        <v>745</v>
      </c>
      <c r="C399" s="4" t="s">
        <v>499</v>
      </c>
      <c r="D399" s="4" t="s">
        <v>787</v>
      </c>
      <c r="E399" s="6">
        <f>J399</f>
        <v>0</v>
      </c>
      <c r="F399" s="6">
        <v>0</v>
      </c>
      <c r="G399" s="7">
        <f t="shared" si="91"/>
        <v>0</v>
      </c>
      <c r="H399" s="6">
        <v>0</v>
      </c>
      <c r="I399" s="7">
        <f t="shared" si="68"/>
        <v>0</v>
      </c>
      <c r="J399" s="6">
        <v>0</v>
      </c>
      <c r="K399" s="6">
        <v>0</v>
      </c>
      <c r="L399" s="8">
        <v>0</v>
      </c>
      <c r="M399" s="8">
        <v>0</v>
      </c>
      <c r="N399" s="4" t="s">
        <v>24</v>
      </c>
      <c r="O399" s="6">
        <v>4</v>
      </c>
      <c r="P399" s="6">
        <v>200</v>
      </c>
      <c r="Q399" s="6">
        <v>7</v>
      </c>
      <c r="R399" s="4"/>
      <c r="S399" s="3">
        <v>455</v>
      </c>
      <c r="T399" s="4" t="s">
        <v>748</v>
      </c>
    </row>
    <row r="400" spans="1:20" ht="14.4">
      <c r="A400" s="3">
        <v>23</v>
      </c>
      <c r="B400" s="4" t="s">
        <v>745</v>
      </c>
      <c r="C400" s="4" t="s">
        <v>499</v>
      </c>
      <c r="D400" s="4" t="s">
        <v>788</v>
      </c>
      <c r="E400" s="6">
        <v>5194</v>
      </c>
      <c r="F400" s="6">
        <v>5726</v>
      </c>
      <c r="G400" s="7">
        <f t="shared" si="91"/>
        <v>532</v>
      </c>
      <c r="H400" s="6">
        <v>6296</v>
      </c>
      <c r="I400" s="7">
        <f t="shared" si="68"/>
        <v>570</v>
      </c>
      <c r="J400" s="6">
        <v>0</v>
      </c>
      <c r="K400" s="6" t="s">
        <v>23</v>
      </c>
      <c r="L400" s="8">
        <f>G400*Q400+P400+O400*115</f>
        <v>4384</v>
      </c>
      <c r="M400" s="8">
        <f>I400*Q400+P400+O400*115</f>
        <v>4650</v>
      </c>
      <c r="N400" s="4" t="s">
        <v>24</v>
      </c>
      <c r="O400" s="6">
        <v>4</v>
      </c>
      <c r="P400" s="6">
        <v>200</v>
      </c>
      <c r="Q400" s="6">
        <v>7</v>
      </c>
      <c r="R400" s="4" t="s">
        <v>789</v>
      </c>
      <c r="S400" s="3">
        <v>595</v>
      </c>
      <c r="T400" s="4" t="s">
        <v>750</v>
      </c>
    </row>
    <row r="401" spans="1:20" ht="14.4">
      <c r="A401" s="3">
        <v>24</v>
      </c>
      <c r="B401" s="4" t="s">
        <v>745</v>
      </c>
      <c r="C401" s="4" t="s">
        <v>499</v>
      </c>
      <c r="D401" s="4" t="s">
        <v>790</v>
      </c>
      <c r="E401" s="6">
        <f t="shared" ref="E401:E402" si="96">J401</f>
        <v>0</v>
      </c>
      <c r="F401" s="6">
        <v>0</v>
      </c>
      <c r="G401" s="7">
        <f t="shared" si="91"/>
        <v>0</v>
      </c>
      <c r="H401" s="6">
        <v>0</v>
      </c>
      <c r="I401" s="7">
        <f t="shared" si="68"/>
        <v>0</v>
      </c>
      <c r="J401" s="6">
        <v>0</v>
      </c>
      <c r="K401" s="6">
        <v>0</v>
      </c>
      <c r="L401" s="8">
        <v>0</v>
      </c>
      <c r="M401" s="8">
        <v>0</v>
      </c>
      <c r="N401" s="4" t="s">
        <v>24</v>
      </c>
      <c r="O401" s="6">
        <v>4</v>
      </c>
      <c r="P401" s="6">
        <v>200</v>
      </c>
      <c r="Q401" s="6">
        <v>7</v>
      </c>
      <c r="R401" s="4"/>
      <c r="S401" s="3">
        <v>850</v>
      </c>
      <c r="T401" s="4" t="s">
        <v>753</v>
      </c>
    </row>
    <row r="402" spans="1:20" ht="14.4">
      <c r="A402" s="3">
        <v>25</v>
      </c>
      <c r="B402" s="4" t="s">
        <v>745</v>
      </c>
      <c r="C402" s="4" t="s">
        <v>499</v>
      </c>
      <c r="D402" s="4" t="s">
        <v>791</v>
      </c>
      <c r="E402" s="6">
        <f t="shared" si="96"/>
        <v>0</v>
      </c>
      <c r="F402" s="6">
        <v>0</v>
      </c>
      <c r="G402" s="7">
        <f t="shared" si="91"/>
        <v>0</v>
      </c>
      <c r="H402" s="6">
        <v>80</v>
      </c>
      <c r="I402" s="7">
        <f t="shared" si="68"/>
        <v>80</v>
      </c>
      <c r="J402" s="6">
        <v>0</v>
      </c>
      <c r="K402" s="6" t="s">
        <v>23</v>
      </c>
      <c r="L402" s="8">
        <v>0</v>
      </c>
      <c r="M402" s="8">
        <f t="shared" ref="M402:M406" si="97">I402*Q402+P402+O402*115</f>
        <v>1220</v>
      </c>
      <c r="N402" s="4" t="s">
        <v>24</v>
      </c>
      <c r="O402" s="6">
        <v>4</v>
      </c>
      <c r="P402" s="6">
        <v>200</v>
      </c>
      <c r="Q402" s="6">
        <v>7</v>
      </c>
      <c r="R402" s="4" t="s">
        <v>792</v>
      </c>
      <c r="S402" s="3">
        <v>850</v>
      </c>
      <c r="T402" s="4" t="s">
        <v>753</v>
      </c>
    </row>
    <row r="403" spans="1:20" ht="14.4">
      <c r="A403" s="3">
        <v>26</v>
      </c>
      <c r="B403" s="4" t="s">
        <v>745</v>
      </c>
      <c r="C403" s="4" t="s">
        <v>499</v>
      </c>
      <c r="D403" s="4" t="s">
        <v>793</v>
      </c>
      <c r="E403" s="6">
        <v>6663</v>
      </c>
      <c r="F403" s="6">
        <v>7263</v>
      </c>
      <c r="G403" s="7">
        <f t="shared" si="91"/>
        <v>600</v>
      </c>
      <c r="H403" s="6">
        <v>8005</v>
      </c>
      <c r="I403" s="7">
        <f t="shared" si="68"/>
        <v>742</v>
      </c>
      <c r="J403" s="6">
        <v>0</v>
      </c>
      <c r="K403" s="6" t="s">
        <v>23</v>
      </c>
      <c r="L403" s="8">
        <f t="shared" ref="L403:L406" si="98">G403*Q403+P403+O403*115</f>
        <v>4860</v>
      </c>
      <c r="M403" s="8">
        <f t="shared" si="97"/>
        <v>5854</v>
      </c>
      <c r="N403" s="4" t="s">
        <v>24</v>
      </c>
      <c r="O403" s="6">
        <v>4</v>
      </c>
      <c r="P403" s="6">
        <v>200</v>
      </c>
      <c r="Q403" s="6">
        <v>7</v>
      </c>
      <c r="R403" s="4" t="s">
        <v>794</v>
      </c>
      <c r="S403" s="3">
        <v>1100</v>
      </c>
      <c r="T403" s="4" t="s">
        <v>766</v>
      </c>
    </row>
    <row r="404" spans="1:20" ht="14.4">
      <c r="A404" s="3">
        <v>27</v>
      </c>
      <c r="B404" s="4" t="s">
        <v>745</v>
      </c>
      <c r="C404" s="4" t="s">
        <v>499</v>
      </c>
      <c r="D404" s="4" t="s">
        <v>795</v>
      </c>
      <c r="E404" s="6">
        <v>20560</v>
      </c>
      <c r="F404" s="6">
        <v>21081</v>
      </c>
      <c r="G404" s="7">
        <f t="shared" si="91"/>
        <v>521</v>
      </c>
      <c r="H404" s="6">
        <v>21713</v>
      </c>
      <c r="I404" s="7">
        <f t="shared" si="68"/>
        <v>632</v>
      </c>
      <c r="J404" s="6">
        <v>0</v>
      </c>
      <c r="K404" s="6">
        <v>0</v>
      </c>
      <c r="L404" s="8">
        <f t="shared" si="98"/>
        <v>4307</v>
      </c>
      <c r="M404" s="8">
        <f t="shared" si="97"/>
        <v>5084</v>
      </c>
      <c r="N404" s="4" t="s">
        <v>24</v>
      </c>
      <c r="O404" s="6">
        <v>4</v>
      </c>
      <c r="P404" s="6">
        <v>200</v>
      </c>
      <c r="Q404" s="6">
        <v>7</v>
      </c>
      <c r="R404" s="4" t="s">
        <v>796</v>
      </c>
      <c r="S404" s="3">
        <v>850</v>
      </c>
      <c r="T404" s="4" t="s">
        <v>753</v>
      </c>
    </row>
    <row r="405" spans="1:20" ht="14.4">
      <c r="A405" s="3">
        <v>28</v>
      </c>
      <c r="B405" s="4" t="s">
        <v>745</v>
      </c>
      <c r="C405" s="4" t="s">
        <v>499</v>
      </c>
      <c r="D405" s="4" t="s">
        <v>797</v>
      </c>
      <c r="E405" s="6">
        <v>286</v>
      </c>
      <c r="F405" s="6">
        <v>289</v>
      </c>
      <c r="G405" s="7">
        <f t="shared" si="91"/>
        <v>3</v>
      </c>
      <c r="H405" s="6">
        <v>286</v>
      </c>
      <c r="I405" s="7">
        <f t="shared" si="68"/>
        <v>-3</v>
      </c>
      <c r="J405" s="6">
        <v>0</v>
      </c>
      <c r="K405" s="6" t="s">
        <v>23</v>
      </c>
      <c r="L405" s="8">
        <f t="shared" si="98"/>
        <v>681</v>
      </c>
      <c r="M405" s="8">
        <f t="shared" si="97"/>
        <v>639</v>
      </c>
      <c r="N405" s="4" t="s">
        <v>24</v>
      </c>
      <c r="O405" s="6">
        <v>4</v>
      </c>
      <c r="P405" s="6">
        <v>200</v>
      </c>
      <c r="Q405" s="6">
        <v>7</v>
      </c>
      <c r="R405" s="4" t="s">
        <v>798</v>
      </c>
      <c r="S405" s="3">
        <v>850</v>
      </c>
      <c r="T405" s="4" t="s">
        <v>753</v>
      </c>
    </row>
    <row r="406" spans="1:20" ht="14.4">
      <c r="A406" s="3">
        <v>29</v>
      </c>
      <c r="B406" s="4" t="s">
        <v>745</v>
      </c>
      <c r="C406" s="4" t="s">
        <v>499</v>
      </c>
      <c r="D406" s="4" t="s">
        <v>799</v>
      </c>
      <c r="E406" s="6">
        <v>10686</v>
      </c>
      <c r="F406" s="6">
        <v>10912</v>
      </c>
      <c r="G406" s="7">
        <f t="shared" si="91"/>
        <v>226</v>
      </c>
      <c r="H406" s="6">
        <v>11199</v>
      </c>
      <c r="I406" s="7">
        <f t="shared" si="68"/>
        <v>287</v>
      </c>
      <c r="J406" s="6">
        <v>0</v>
      </c>
      <c r="K406" s="6" t="s">
        <v>23</v>
      </c>
      <c r="L406" s="8">
        <f t="shared" si="98"/>
        <v>2242</v>
      </c>
      <c r="M406" s="8">
        <f t="shared" si="97"/>
        <v>2669</v>
      </c>
      <c r="N406" s="4" t="s">
        <v>24</v>
      </c>
      <c r="O406" s="6">
        <v>4</v>
      </c>
      <c r="P406" s="6">
        <v>200</v>
      </c>
      <c r="Q406" s="6">
        <v>7</v>
      </c>
      <c r="R406" s="4" t="s">
        <v>800</v>
      </c>
      <c r="S406" s="3">
        <v>850</v>
      </c>
      <c r="T406" s="4" t="s">
        <v>753</v>
      </c>
    </row>
    <row r="407" spans="1:20" ht="14.4">
      <c r="A407" s="3">
        <v>30</v>
      </c>
      <c r="B407" s="4" t="s">
        <v>745</v>
      </c>
      <c r="C407" s="4" t="s">
        <v>516</v>
      </c>
      <c r="D407" s="4" t="s">
        <v>801</v>
      </c>
      <c r="E407" s="6">
        <f>J407</f>
        <v>0</v>
      </c>
      <c r="F407" s="6">
        <v>0</v>
      </c>
      <c r="G407" s="7">
        <f t="shared" si="91"/>
        <v>0</v>
      </c>
      <c r="H407" s="6">
        <v>0</v>
      </c>
      <c r="I407" s="7">
        <f t="shared" si="68"/>
        <v>0</v>
      </c>
      <c r="J407" s="6">
        <v>0</v>
      </c>
      <c r="K407" s="6">
        <v>0</v>
      </c>
      <c r="L407" s="8">
        <v>0</v>
      </c>
      <c r="M407" s="8">
        <v>0</v>
      </c>
      <c r="N407" s="4" t="s">
        <v>24</v>
      </c>
      <c r="O407" s="6">
        <v>4</v>
      </c>
      <c r="P407" s="6">
        <v>200</v>
      </c>
      <c r="Q407" s="6">
        <v>7</v>
      </c>
      <c r="R407" s="4" t="s">
        <v>802</v>
      </c>
      <c r="S407" s="3">
        <v>455</v>
      </c>
      <c r="T407" s="4" t="s">
        <v>748</v>
      </c>
    </row>
    <row r="408" spans="1:20" ht="14.4">
      <c r="A408" s="3">
        <v>31</v>
      </c>
      <c r="B408" s="4" t="s">
        <v>745</v>
      </c>
      <c r="C408" s="4" t="s">
        <v>516</v>
      </c>
      <c r="D408" s="4" t="s">
        <v>803</v>
      </c>
      <c r="E408" s="6">
        <v>1554</v>
      </c>
      <c r="F408" s="6">
        <v>1928</v>
      </c>
      <c r="G408" s="7">
        <f t="shared" si="91"/>
        <v>374</v>
      </c>
      <c r="H408" s="6">
        <v>2386</v>
      </c>
      <c r="I408" s="7">
        <f t="shared" si="68"/>
        <v>458</v>
      </c>
      <c r="J408" s="6">
        <v>0</v>
      </c>
      <c r="K408" s="6">
        <v>0</v>
      </c>
      <c r="L408" s="8">
        <f t="shared" ref="L408:L410" si="99">G408*Q408+P408+O408*115</f>
        <v>3278</v>
      </c>
      <c r="M408" s="8">
        <f t="shared" ref="M408:M410" si="100">I408*Q408+P408+O408*115</f>
        <v>3866</v>
      </c>
      <c r="N408" s="4" t="s">
        <v>24</v>
      </c>
      <c r="O408" s="6">
        <v>4</v>
      </c>
      <c r="P408" s="6">
        <v>200</v>
      </c>
      <c r="Q408" s="6">
        <v>7</v>
      </c>
      <c r="R408" s="4" t="s">
        <v>804</v>
      </c>
      <c r="S408" s="3">
        <v>595</v>
      </c>
      <c r="T408" s="4" t="s">
        <v>750</v>
      </c>
    </row>
    <row r="409" spans="1:20" ht="14.4">
      <c r="A409" s="3">
        <v>32</v>
      </c>
      <c r="B409" s="4" t="s">
        <v>745</v>
      </c>
      <c r="C409" s="4" t="s">
        <v>516</v>
      </c>
      <c r="D409" s="4" t="s">
        <v>805</v>
      </c>
      <c r="E409" s="6">
        <v>12236</v>
      </c>
      <c r="F409" s="6">
        <v>12797</v>
      </c>
      <c r="G409" s="7">
        <f t="shared" si="91"/>
        <v>561</v>
      </c>
      <c r="H409" s="6">
        <v>13447</v>
      </c>
      <c r="I409" s="7">
        <f t="shared" si="68"/>
        <v>650</v>
      </c>
      <c r="J409" s="6">
        <v>0</v>
      </c>
      <c r="K409" s="6" t="s">
        <v>23</v>
      </c>
      <c r="L409" s="8">
        <f t="shared" si="99"/>
        <v>4587</v>
      </c>
      <c r="M409" s="8">
        <f t="shared" si="100"/>
        <v>5210</v>
      </c>
      <c r="N409" s="4" t="s">
        <v>24</v>
      </c>
      <c r="O409" s="6">
        <v>4</v>
      </c>
      <c r="P409" s="6">
        <v>200</v>
      </c>
      <c r="Q409" s="6">
        <v>7</v>
      </c>
      <c r="R409" s="4" t="s">
        <v>806</v>
      </c>
      <c r="S409" s="3">
        <v>850</v>
      </c>
      <c r="T409" s="4" t="s">
        <v>753</v>
      </c>
    </row>
    <row r="410" spans="1:20" ht="14.4">
      <c r="A410" s="3">
        <v>33</v>
      </c>
      <c r="B410" s="4" t="s">
        <v>745</v>
      </c>
      <c r="C410" s="4" t="s">
        <v>516</v>
      </c>
      <c r="D410" s="4" t="s">
        <v>807</v>
      </c>
      <c r="E410" s="6">
        <v>3891</v>
      </c>
      <c r="F410" s="6">
        <v>4169</v>
      </c>
      <c r="G410" s="7">
        <f t="shared" si="91"/>
        <v>278</v>
      </c>
      <c r="H410" s="6">
        <v>4435</v>
      </c>
      <c r="I410" s="7">
        <f t="shared" si="68"/>
        <v>266</v>
      </c>
      <c r="J410" s="6">
        <v>0</v>
      </c>
      <c r="K410" s="6">
        <v>0</v>
      </c>
      <c r="L410" s="8">
        <f t="shared" si="99"/>
        <v>2606</v>
      </c>
      <c r="M410" s="8">
        <f t="shared" si="100"/>
        <v>2522</v>
      </c>
      <c r="N410" s="4" t="s">
        <v>24</v>
      </c>
      <c r="O410" s="6">
        <v>4</v>
      </c>
      <c r="P410" s="6">
        <v>200</v>
      </c>
      <c r="Q410" s="6">
        <v>7</v>
      </c>
      <c r="R410" s="4" t="s">
        <v>808</v>
      </c>
      <c r="S410" s="3">
        <v>850</v>
      </c>
      <c r="T410" s="4" t="s">
        <v>753</v>
      </c>
    </row>
    <row r="411" spans="1:20" ht="14.4">
      <c r="A411" s="3">
        <v>34</v>
      </c>
      <c r="B411" s="4" t="s">
        <v>745</v>
      </c>
      <c r="C411" s="4" t="s">
        <v>516</v>
      </c>
      <c r="D411" s="4" t="s">
        <v>809</v>
      </c>
      <c r="E411" s="6">
        <v>4437</v>
      </c>
      <c r="F411" s="6">
        <v>4437</v>
      </c>
      <c r="G411" s="7">
        <f t="shared" si="91"/>
        <v>0</v>
      </c>
      <c r="H411" s="6">
        <v>4437</v>
      </c>
      <c r="I411" s="7">
        <f t="shared" si="68"/>
        <v>0</v>
      </c>
      <c r="J411" s="6">
        <v>0</v>
      </c>
      <c r="K411" s="6">
        <v>0</v>
      </c>
      <c r="L411" s="8">
        <v>0</v>
      </c>
      <c r="M411" s="8">
        <v>0</v>
      </c>
      <c r="N411" s="4" t="s">
        <v>24</v>
      </c>
      <c r="O411" s="6">
        <v>4</v>
      </c>
      <c r="P411" s="6">
        <v>200</v>
      </c>
      <c r="Q411" s="6">
        <v>7</v>
      </c>
      <c r="R411" s="4" t="s">
        <v>810</v>
      </c>
      <c r="S411" s="3">
        <v>1100</v>
      </c>
      <c r="T411" s="4" t="s">
        <v>766</v>
      </c>
    </row>
    <row r="412" spans="1:20" ht="14.4">
      <c r="A412" s="3">
        <v>35</v>
      </c>
      <c r="B412" s="4" t="s">
        <v>745</v>
      </c>
      <c r="C412" s="4" t="s">
        <v>516</v>
      </c>
      <c r="D412" s="4" t="s">
        <v>811</v>
      </c>
      <c r="E412" s="6">
        <v>141</v>
      </c>
      <c r="F412" s="6">
        <v>452</v>
      </c>
      <c r="G412" s="7">
        <f t="shared" si="91"/>
        <v>311</v>
      </c>
      <c r="H412" s="6">
        <v>867</v>
      </c>
      <c r="I412" s="7">
        <f t="shared" si="68"/>
        <v>415</v>
      </c>
      <c r="J412" s="6">
        <v>0</v>
      </c>
      <c r="K412" s="6">
        <v>0</v>
      </c>
      <c r="L412" s="8">
        <f t="shared" ref="L412:L422" si="101">G412*Q412+P412+O412*115</f>
        <v>2837</v>
      </c>
      <c r="M412" s="8">
        <f t="shared" ref="M412:M486" si="102">I412*Q412+P412+O412*115</f>
        <v>3565</v>
      </c>
      <c r="N412" s="4" t="s">
        <v>24</v>
      </c>
      <c r="O412" s="6">
        <v>4</v>
      </c>
      <c r="P412" s="6">
        <v>200</v>
      </c>
      <c r="Q412" s="6">
        <v>7</v>
      </c>
      <c r="R412" s="4" t="s">
        <v>812</v>
      </c>
      <c r="S412" s="3">
        <v>850</v>
      </c>
      <c r="T412" s="4" t="s">
        <v>753</v>
      </c>
    </row>
    <row r="413" spans="1:20" ht="14.4">
      <c r="A413" s="3">
        <v>36</v>
      </c>
      <c r="B413" s="4" t="s">
        <v>745</v>
      </c>
      <c r="C413" s="4" t="s">
        <v>516</v>
      </c>
      <c r="D413" s="4" t="s">
        <v>813</v>
      </c>
      <c r="E413" s="6">
        <v>13348</v>
      </c>
      <c r="F413" s="6">
        <v>14137</v>
      </c>
      <c r="G413" s="7">
        <f t="shared" si="91"/>
        <v>789</v>
      </c>
      <c r="H413" s="6">
        <v>14462</v>
      </c>
      <c r="I413" s="7">
        <f t="shared" si="68"/>
        <v>325</v>
      </c>
      <c r="J413" s="6">
        <v>0</v>
      </c>
      <c r="K413" s="6" t="s">
        <v>23</v>
      </c>
      <c r="L413" s="8">
        <f t="shared" si="101"/>
        <v>6183</v>
      </c>
      <c r="M413" s="8">
        <f t="shared" si="102"/>
        <v>2935</v>
      </c>
      <c r="N413" s="4" t="s">
        <v>24</v>
      </c>
      <c r="O413" s="6">
        <v>4</v>
      </c>
      <c r="P413" s="6">
        <v>200</v>
      </c>
      <c r="Q413" s="6">
        <v>7</v>
      </c>
      <c r="R413" s="4" t="s">
        <v>814</v>
      </c>
      <c r="S413" s="3">
        <v>850</v>
      </c>
      <c r="T413" s="4" t="s">
        <v>753</v>
      </c>
    </row>
    <row r="414" spans="1:20" ht="14.4">
      <c r="A414" s="3">
        <v>37</v>
      </c>
      <c r="B414" s="4" t="s">
        <v>745</v>
      </c>
      <c r="C414" s="4" t="s">
        <v>516</v>
      </c>
      <c r="D414" s="4" t="s">
        <v>815</v>
      </c>
      <c r="E414" s="6">
        <v>10100</v>
      </c>
      <c r="F414" s="6">
        <v>10308</v>
      </c>
      <c r="G414" s="7">
        <f t="shared" si="91"/>
        <v>208</v>
      </c>
      <c r="H414" s="6">
        <v>10616</v>
      </c>
      <c r="I414" s="7">
        <f t="shared" si="68"/>
        <v>308</v>
      </c>
      <c r="J414" s="6">
        <v>0</v>
      </c>
      <c r="K414" s="6" t="s">
        <v>23</v>
      </c>
      <c r="L414" s="8">
        <f t="shared" si="101"/>
        <v>2116</v>
      </c>
      <c r="M414" s="8">
        <f t="shared" si="102"/>
        <v>2816</v>
      </c>
      <c r="N414" s="4" t="s">
        <v>24</v>
      </c>
      <c r="O414" s="6">
        <v>4</v>
      </c>
      <c r="P414" s="6">
        <v>200</v>
      </c>
      <c r="Q414" s="6">
        <v>7</v>
      </c>
      <c r="R414" s="4" t="s">
        <v>816</v>
      </c>
      <c r="S414" s="3">
        <v>850</v>
      </c>
      <c r="T414" s="4" t="s">
        <v>753</v>
      </c>
    </row>
    <row r="415" spans="1:20" ht="14.4">
      <c r="A415" s="3">
        <v>38</v>
      </c>
      <c r="B415" s="4" t="s">
        <v>745</v>
      </c>
      <c r="C415" s="4" t="s">
        <v>533</v>
      </c>
      <c r="D415" s="4" t="s">
        <v>817</v>
      </c>
      <c r="E415" s="6">
        <v>2231</v>
      </c>
      <c r="F415" s="6">
        <v>2281</v>
      </c>
      <c r="G415" s="7">
        <f t="shared" si="91"/>
        <v>50</v>
      </c>
      <c r="H415" s="6">
        <v>2304</v>
      </c>
      <c r="I415" s="7">
        <f t="shared" si="68"/>
        <v>23</v>
      </c>
      <c r="J415" s="6">
        <v>0</v>
      </c>
      <c r="K415" s="6" t="s">
        <v>23</v>
      </c>
      <c r="L415" s="8">
        <f t="shared" si="101"/>
        <v>1010</v>
      </c>
      <c r="M415" s="8">
        <f t="shared" si="102"/>
        <v>821</v>
      </c>
      <c r="N415" s="4" t="s">
        <v>24</v>
      </c>
      <c r="O415" s="6">
        <v>4</v>
      </c>
      <c r="P415" s="6">
        <v>200</v>
      </c>
      <c r="Q415" s="6">
        <v>7</v>
      </c>
      <c r="R415" s="4" t="s">
        <v>818</v>
      </c>
      <c r="S415" s="3">
        <v>455</v>
      </c>
      <c r="T415" s="4" t="s">
        <v>748</v>
      </c>
    </row>
    <row r="416" spans="1:20" ht="14.4">
      <c r="A416" s="3">
        <v>39</v>
      </c>
      <c r="B416" s="4" t="s">
        <v>745</v>
      </c>
      <c r="C416" s="4" t="s">
        <v>533</v>
      </c>
      <c r="D416" s="4" t="s">
        <v>819</v>
      </c>
      <c r="E416" s="6">
        <v>4693</v>
      </c>
      <c r="F416" s="6">
        <v>4789</v>
      </c>
      <c r="G416" s="7">
        <f t="shared" si="91"/>
        <v>96</v>
      </c>
      <c r="H416" s="6">
        <v>5465</v>
      </c>
      <c r="I416" s="7">
        <f t="shared" si="68"/>
        <v>676</v>
      </c>
      <c r="J416" s="6">
        <v>0</v>
      </c>
      <c r="K416" s="6" t="s">
        <v>23</v>
      </c>
      <c r="L416" s="8">
        <f t="shared" si="101"/>
        <v>1332</v>
      </c>
      <c r="M416" s="8">
        <f t="shared" si="102"/>
        <v>5392</v>
      </c>
      <c r="N416" s="4" t="s">
        <v>24</v>
      </c>
      <c r="O416" s="6">
        <v>4</v>
      </c>
      <c r="P416" s="6">
        <v>200</v>
      </c>
      <c r="Q416" s="6">
        <v>7</v>
      </c>
      <c r="R416" s="4" t="s">
        <v>820</v>
      </c>
      <c r="S416" s="3">
        <v>595</v>
      </c>
      <c r="T416" s="4" t="s">
        <v>750</v>
      </c>
    </row>
    <row r="417" spans="1:20" ht="14.4">
      <c r="A417" s="3">
        <v>40</v>
      </c>
      <c r="B417" s="4" t="s">
        <v>745</v>
      </c>
      <c r="C417" s="4" t="s">
        <v>533</v>
      </c>
      <c r="D417" s="4" t="s">
        <v>821</v>
      </c>
      <c r="E417" s="6">
        <v>2507</v>
      </c>
      <c r="F417" s="6">
        <v>2677</v>
      </c>
      <c r="G417" s="7">
        <f t="shared" si="91"/>
        <v>170</v>
      </c>
      <c r="H417" s="6">
        <v>2682</v>
      </c>
      <c r="I417" s="7">
        <f t="shared" si="68"/>
        <v>5</v>
      </c>
      <c r="J417" s="6">
        <v>0</v>
      </c>
      <c r="K417" s="6" t="s">
        <v>23</v>
      </c>
      <c r="L417" s="8">
        <f t="shared" si="101"/>
        <v>1850</v>
      </c>
      <c r="M417" s="8">
        <f t="shared" si="102"/>
        <v>695</v>
      </c>
      <c r="N417" s="4" t="s">
        <v>24</v>
      </c>
      <c r="O417" s="6">
        <v>4</v>
      </c>
      <c r="P417" s="6">
        <v>200</v>
      </c>
      <c r="Q417" s="6">
        <v>7</v>
      </c>
      <c r="R417" s="4" t="s">
        <v>822</v>
      </c>
      <c r="S417" s="3">
        <v>850</v>
      </c>
      <c r="T417" s="4" t="s">
        <v>753</v>
      </c>
    </row>
    <row r="418" spans="1:20" ht="14.4">
      <c r="A418" s="3">
        <v>41</v>
      </c>
      <c r="B418" s="4" t="s">
        <v>745</v>
      </c>
      <c r="C418" s="4" t="s">
        <v>533</v>
      </c>
      <c r="D418" s="4" t="s">
        <v>823</v>
      </c>
      <c r="E418" s="6">
        <v>2441</v>
      </c>
      <c r="F418" s="6">
        <v>2890</v>
      </c>
      <c r="G418" s="7">
        <f t="shared" si="91"/>
        <v>449</v>
      </c>
      <c r="H418" s="6">
        <v>3286</v>
      </c>
      <c r="I418" s="7">
        <f t="shared" si="68"/>
        <v>396</v>
      </c>
      <c r="J418" s="6">
        <v>0</v>
      </c>
      <c r="K418" s="6" t="s">
        <v>23</v>
      </c>
      <c r="L418" s="8">
        <f t="shared" si="101"/>
        <v>3803</v>
      </c>
      <c r="M418" s="8">
        <f t="shared" si="102"/>
        <v>3432</v>
      </c>
      <c r="N418" s="4" t="s">
        <v>24</v>
      </c>
      <c r="O418" s="6">
        <v>4</v>
      </c>
      <c r="P418" s="6">
        <v>200</v>
      </c>
      <c r="Q418" s="6">
        <v>7</v>
      </c>
      <c r="R418" s="4" t="s">
        <v>824</v>
      </c>
      <c r="S418" s="3">
        <v>850</v>
      </c>
      <c r="T418" s="4" t="s">
        <v>753</v>
      </c>
    </row>
    <row r="419" spans="1:20" ht="14.4">
      <c r="A419" s="3">
        <v>42</v>
      </c>
      <c r="B419" s="4" t="s">
        <v>745</v>
      </c>
      <c r="C419" s="4" t="s">
        <v>533</v>
      </c>
      <c r="D419" s="4" t="s">
        <v>825</v>
      </c>
      <c r="E419" s="6">
        <v>6184</v>
      </c>
      <c r="F419" s="6">
        <v>6431</v>
      </c>
      <c r="G419" s="7">
        <f t="shared" si="91"/>
        <v>247</v>
      </c>
      <c r="H419" s="6">
        <v>6794</v>
      </c>
      <c r="I419" s="7">
        <f t="shared" si="68"/>
        <v>363</v>
      </c>
      <c r="J419" s="6">
        <v>0</v>
      </c>
      <c r="K419" s="6" t="s">
        <v>23</v>
      </c>
      <c r="L419" s="8">
        <f t="shared" si="101"/>
        <v>2389</v>
      </c>
      <c r="M419" s="8">
        <f t="shared" si="102"/>
        <v>3201</v>
      </c>
      <c r="N419" s="4" t="s">
        <v>24</v>
      </c>
      <c r="O419" s="6">
        <v>4</v>
      </c>
      <c r="P419" s="6">
        <v>200</v>
      </c>
      <c r="Q419" s="6">
        <v>7</v>
      </c>
      <c r="R419" s="4" t="s">
        <v>826</v>
      </c>
      <c r="S419" s="3">
        <v>1100</v>
      </c>
      <c r="T419" s="4" t="s">
        <v>766</v>
      </c>
    </row>
    <row r="420" spans="1:20" ht="14.4">
      <c r="A420" s="3">
        <v>43</v>
      </c>
      <c r="B420" s="4" t="s">
        <v>745</v>
      </c>
      <c r="C420" s="4" t="s">
        <v>533</v>
      </c>
      <c r="D420" s="4" t="s">
        <v>827</v>
      </c>
      <c r="E420" s="6">
        <v>6033</v>
      </c>
      <c r="F420" s="6">
        <v>6342</v>
      </c>
      <c r="G420" s="7">
        <f t="shared" si="91"/>
        <v>309</v>
      </c>
      <c r="H420" s="6">
        <v>6597</v>
      </c>
      <c r="I420" s="7">
        <f t="shared" si="68"/>
        <v>255</v>
      </c>
      <c r="J420" s="6">
        <v>0</v>
      </c>
      <c r="K420" s="6" t="s">
        <v>23</v>
      </c>
      <c r="L420" s="8">
        <f t="shared" si="101"/>
        <v>2823</v>
      </c>
      <c r="M420" s="8">
        <f t="shared" si="102"/>
        <v>2445</v>
      </c>
      <c r="N420" s="4" t="s">
        <v>24</v>
      </c>
      <c r="O420" s="6">
        <v>4</v>
      </c>
      <c r="P420" s="6">
        <v>200</v>
      </c>
      <c r="Q420" s="6">
        <v>7</v>
      </c>
      <c r="R420" s="4" t="s">
        <v>828</v>
      </c>
      <c r="S420" s="3">
        <v>850</v>
      </c>
      <c r="T420" s="4" t="s">
        <v>753</v>
      </c>
    </row>
    <row r="421" spans="1:20" ht="14.4">
      <c r="A421" s="3">
        <v>44</v>
      </c>
      <c r="B421" s="4" t="s">
        <v>745</v>
      </c>
      <c r="C421" s="4" t="s">
        <v>533</v>
      </c>
      <c r="D421" s="4" t="s">
        <v>829</v>
      </c>
      <c r="E421" s="6">
        <v>9300</v>
      </c>
      <c r="F421" s="6">
        <v>9317</v>
      </c>
      <c r="G421" s="7">
        <f t="shared" si="91"/>
        <v>17</v>
      </c>
      <c r="H421" s="6">
        <v>9536</v>
      </c>
      <c r="I421" s="7">
        <f t="shared" si="68"/>
        <v>219</v>
      </c>
      <c r="J421" s="6">
        <v>0</v>
      </c>
      <c r="K421" s="6" t="s">
        <v>23</v>
      </c>
      <c r="L421" s="8">
        <f t="shared" si="101"/>
        <v>779</v>
      </c>
      <c r="M421" s="8">
        <f t="shared" si="102"/>
        <v>2193</v>
      </c>
      <c r="N421" s="4" t="s">
        <v>24</v>
      </c>
      <c r="O421" s="6">
        <v>4</v>
      </c>
      <c r="P421" s="6">
        <v>200</v>
      </c>
      <c r="Q421" s="6">
        <v>7</v>
      </c>
      <c r="R421" s="4" t="s">
        <v>830</v>
      </c>
      <c r="S421" s="3">
        <v>850</v>
      </c>
      <c r="T421" s="4" t="s">
        <v>753</v>
      </c>
    </row>
    <row r="422" spans="1:20" ht="14.4">
      <c r="A422" s="3">
        <v>45</v>
      </c>
      <c r="B422" s="4" t="s">
        <v>745</v>
      </c>
      <c r="C422" s="4" t="s">
        <v>533</v>
      </c>
      <c r="D422" s="4" t="s">
        <v>831</v>
      </c>
      <c r="E422" s="6">
        <v>7748</v>
      </c>
      <c r="F422" s="6">
        <v>8073</v>
      </c>
      <c r="G422" s="7">
        <f t="shared" si="91"/>
        <v>325</v>
      </c>
      <c r="H422" s="6">
        <v>8420</v>
      </c>
      <c r="I422" s="7">
        <f t="shared" si="68"/>
        <v>347</v>
      </c>
      <c r="J422" s="6">
        <v>0</v>
      </c>
      <c r="K422" s="6" t="s">
        <v>23</v>
      </c>
      <c r="L422" s="8">
        <f t="shared" si="101"/>
        <v>2935</v>
      </c>
      <c r="M422" s="8">
        <f t="shared" si="102"/>
        <v>3089</v>
      </c>
      <c r="N422" s="4" t="s">
        <v>24</v>
      </c>
      <c r="O422" s="6">
        <v>4</v>
      </c>
      <c r="P422" s="6">
        <v>200</v>
      </c>
      <c r="Q422" s="6">
        <v>7</v>
      </c>
      <c r="R422" s="4" t="s">
        <v>832</v>
      </c>
      <c r="S422" s="3">
        <v>850</v>
      </c>
      <c r="T422" s="4" t="s">
        <v>753</v>
      </c>
    </row>
    <row r="423" spans="1:20" ht="14.4">
      <c r="A423" s="3">
        <v>46</v>
      </c>
      <c r="B423" s="4" t="s">
        <v>745</v>
      </c>
      <c r="C423" s="4" t="s">
        <v>549</v>
      </c>
      <c r="D423" s="4" t="s">
        <v>833</v>
      </c>
      <c r="E423" s="6">
        <v>4568</v>
      </c>
      <c r="F423" s="6">
        <v>4568</v>
      </c>
      <c r="G423" s="7">
        <f t="shared" si="91"/>
        <v>0</v>
      </c>
      <c r="H423" s="6">
        <v>4670</v>
      </c>
      <c r="I423" s="7">
        <f t="shared" si="68"/>
        <v>102</v>
      </c>
      <c r="J423" s="6">
        <v>0</v>
      </c>
      <c r="K423" s="6" t="s">
        <v>23</v>
      </c>
      <c r="L423" s="8">
        <v>0</v>
      </c>
      <c r="M423" s="8">
        <f t="shared" si="102"/>
        <v>1374</v>
      </c>
      <c r="N423" s="4" t="s">
        <v>24</v>
      </c>
      <c r="O423" s="6">
        <v>4</v>
      </c>
      <c r="P423" s="6">
        <v>200</v>
      </c>
      <c r="Q423" s="6">
        <v>7</v>
      </c>
      <c r="R423" s="4"/>
      <c r="S423" s="3">
        <v>455</v>
      </c>
      <c r="T423" s="4" t="s">
        <v>748</v>
      </c>
    </row>
    <row r="424" spans="1:20" ht="14.4">
      <c r="A424" s="3">
        <v>47</v>
      </c>
      <c r="B424" s="4" t="s">
        <v>745</v>
      </c>
      <c r="C424" s="4" t="s">
        <v>549</v>
      </c>
      <c r="D424" s="4" t="s">
        <v>834</v>
      </c>
      <c r="E424" s="6">
        <f>J424</f>
        <v>0</v>
      </c>
      <c r="F424" s="6">
        <v>0</v>
      </c>
      <c r="G424" s="7">
        <f t="shared" si="91"/>
        <v>0</v>
      </c>
      <c r="H424" s="6">
        <v>0</v>
      </c>
      <c r="I424" s="7">
        <f t="shared" si="68"/>
        <v>0</v>
      </c>
      <c r="J424" s="6">
        <v>0</v>
      </c>
      <c r="K424" s="6" t="s">
        <v>23</v>
      </c>
      <c r="L424" s="8">
        <v>0</v>
      </c>
      <c r="M424" s="8">
        <f t="shared" si="102"/>
        <v>660</v>
      </c>
      <c r="N424" s="4" t="s">
        <v>24</v>
      </c>
      <c r="O424" s="6">
        <v>4</v>
      </c>
      <c r="P424" s="6">
        <v>200</v>
      </c>
      <c r="Q424" s="6">
        <v>7</v>
      </c>
      <c r="R424" s="4"/>
      <c r="S424" s="3">
        <v>595</v>
      </c>
      <c r="T424" s="4" t="s">
        <v>750</v>
      </c>
    </row>
    <row r="425" spans="1:20" ht="14.4">
      <c r="A425" s="3">
        <v>48</v>
      </c>
      <c r="B425" s="4" t="s">
        <v>745</v>
      </c>
      <c r="C425" s="4" t="s">
        <v>549</v>
      </c>
      <c r="D425" s="4" t="s">
        <v>835</v>
      </c>
      <c r="E425" s="6">
        <v>1610</v>
      </c>
      <c r="F425" s="6">
        <v>2051</v>
      </c>
      <c r="G425" s="7">
        <f t="shared" si="91"/>
        <v>441</v>
      </c>
      <c r="H425" s="6">
        <v>2367</v>
      </c>
      <c r="I425" s="7">
        <f t="shared" si="68"/>
        <v>316</v>
      </c>
      <c r="J425" s="6">
        <v>0</v>
      </c>
      <c r="K425" s="6" t="s">
        <v>23</v>
      </c>
      <c r="L425" s="8">
        <f t="shared" ref="L425:L432" si="103">G425*Q425+P425+O425*115</f>
        <v>3747</v>
      </c>
      <c r="M425" s="8">
        <f t="shared" si="102"/>
        <v>2872</v>
      </c>
      <c r="N425" s="4" t="s">
        <v>24</v>
      </c>
      <c r="O425" s="6">
        <v>4</v>
      </c>
      <c r="P425" s="6">
        <v>200</v>
      </c>
      <c r="Q425" s="6">
        <v>7</v>
      </c>
      <c r="R425" s="4" t="s">
        <v>836</v>
      </c>
      <c r="S425" s="3">
        <v>850</v>
      </c>
      <c r="T425" s="4" t="s">
        <v>753</v>
      </c>
    </row>
    <row r="426" spans="1:20" ht="14.4">
      <c r="A426" s="3">
        <v>49</v>
      </c>
      <c r="B426" s="4" t="s">
        <v>745</v>
      </c>
      <c r="C426" s="4" t="s">
        <v>549</v>
      </c>
      <c r="D426" s="4" t="s">
        <v>837</v>
      </c>
      <c r="E426" s="6">
        <v>4829</v>
      </c>
      <c r="F426" s="6">
        <v>5054</v>
      </c>
      <c r="G426" s="7">
        <f t="shared" si="91"/>
        <v>225</v>
      </c>
      <c r="H426" s="6">
        <v>5320</v>
      </c>
      <c r="I426" s="7">
        <f t="shared" si="68"/>
        <v>266</v>
      </c>
      <c r="J426" s="6">
        <v>0</v>
      </c>
      <c r="K426" s="6" t="s">
        <v>23</v>
      </c>
      <c r="L426" s="8">
        <f t="shared" si="103"/>
        <v>2235</v>
      </c>
      <c r="M426" s="8">
        <f t="shared" si="102"/>
        <v>2522</v>
      </c>
      <c r="N426" s="4" t="s">
        <v>24</v>
      </c>
      <c r="O426" s="6">
        <v>4</v>
      </c>
      <c r="P426" s="6">
        <v>200</v>
      </c>
      <c r="Q426" s="6">
        <v>7</v>
      </c>
      <c r="R426" s="4" t="s">
        <v>838</v>
      </c>
      <c r="S426" s="3">
        <v>850</v>
      </c>
      <c r="T426" s="4" t="s">
        <v>753</v>
      </c>
    </row>
    <row r="427" spans="1:20" ht="14.4">
      <c r="A427" s="3">
        <v>50</v>
      </c>
      <c r="B427" s="4" t="s">
        <v>745</v>
      </c>
      <c r="C427" s="4" t="s">
        <v>549</v>
      </c>
      <c r="D427" s="4" t="s">
        <v>839</v>
      </c>
      <c r="E427" s="6">
        <v>6239</v>
      </c>
      <c r="F427" s="6">
        <v>6554</v>
      </c>
      <c r="G427" s="7">
        <f t="shared" si="91"/>
        <v>315</v>
      </c>
      <c r="H427" s="6">
        <v>7060</v>
      </c>
      <c r="I427" s="7">
        <f t="shared" si="68"/>
        <v>506</v>
      </c>
      <c r="J427" s="6">
        <v>0</v>
      </c>
      <c r="K427" s="6" t="s">
        <v>23</v>
      </c>
      <c r="L427" s="8">
        <f t="shared" si="103"/>
        <v>2865</v>
      </c>
      <c r="M427" s="8">
        <f t="shared" si="102"/>
        <v>4202</v>
      </c>
      <c r="N427" s="4" t="s">
        <v>24</v>
      </c>
      <c r="O427" s="6">
        <v>4</v>
      </c>
      <c r="P427" s="6">
        <v>200</v>
      </c>
      <c r="Q427" s="6">
        <v>7</v>
      </c>
      <c r="R427" s="4" t="s">
        <v>840</v>
      </c>
      <c r="S427" s="3">
        <v>1100</v>
      </c>
      <c r="T427" s="4" t="s">
        <v>766</v>
      </c>
    </row>
    <row r="428" spans="1:20" ht="14.4">
      <c r="A428" s="3">
        <v>51</v>
      </c>
      <c r="B428" s="4" t="s">
        <v>745</v>
      </c>
      <c r="C428" s="4" t="s">
        <v>549</v>
      </c>
      <c r="D428" s="4" t="s">
        <v>841</v>
      </c>
      <c r="E428" s="6">
        <v>2251</v>
      </c>
      <c r="F428" s="6">
        <v>2335</v>
      </c>
      <c r="G428" s="7">
        <f t="shared" si="91"/>
        <v>84</v>
      </c>
      <c r="H428" s="6">
        <v>2409</v>
      </c>
      <c r="I428" s="7">
        <f t="shared" si="68"/>
        <v>74</v>
      </c>
      <c r="J428" s="6">
        <v>0</v>
      </c>
      <c r="K428" s="6" t="s">
        <v>23</v>
      </c>
      <c r="L428" s="8">
        <f t="shared" si="103"/>
        <v>1248</v>
      </c>
      <c r="M428" s="8">
        <f t="shared" si="102"/>
        <v>1178</v>
      </c>
      <c r="N428" s="4" t="s">
        <v>24</v>
      </c>
      <c r="O428" s="6">
        <v>4</v>
      </c>
      <c r="P428" s="6">
        <v>200</v>
      </c>
      <c r="Q428" s="6">
        <v>7</v>
      </c>
      <c r="R428" s="4" t="s">
        <v>842</v>
      </c>
      <c r="S428" s="3">
        <v>850</v>
      </c>
      <c r="T428" s="4" t="s">
        <v>753</v>
      </c>
    </row>
    <row r="429" spans="1:20" ht="14.4">
      <c r="A429" s="3">
        <v>52</v>
      </c>
      <c r="B429" s="4" t="s">
        <v>745</v>
      </c>
      <c r="C429" s="4" t="s">
        <v>549</v>
      </c>
      <c r="D429" s="4" t="s">
        <v>843</v>
      </c>
      <c r="E429" s="6">
        <v>8468</v>
      </c>
      <c r="F429" s="6">
        <v>9042</v>
      </c>
      <c r="G429" s="7">
        <f t="shared" si="91"/>
        <v>574</v>
      </c>
      <c r="H429" s="6">
        <v>9051</v>
      </c>
      <c r="I429" s="7">
        <f t="shared" si="68"/>
        <v>9</v>
      </c>
      <c r="J429" s="6">
        <v>0</v>
      </c>
      <c r="K429" s="6" t="s">
        <v>23</v>
      </c>
      <c r="L429" s="8">
        <f t="shared" si="103"/>
        <v>4678</v>
      </c>
      <c r="M429" s="8">
        <f t="shared" si="102"/>
        <v>723</v>
      </c>
      <c r="N429" s="4" t="s">
        <v>24</v>
      </c>
      <c r="O429" s="6">
        <v>4</v>
      </c>
      <c r="P429" s="6">
        <v>200</v>
      </c>
      <c r="Q429" s="6">
        <v>7</v>
      </c>
      <c r="R429" s="4" t="s">
        <v>844</v>
      </c>
      <c r="S429" s="3">
        <v>850</v>
      </c>
      <c r="T429" s="4" t="s">
        <v>753</v>
      </c>
    </row>
    <row r="430" spans="1:20" ht="14.4">
      <c r="A430" s="3">
        <v>53</v>
      </c>
      <c r="B430" s="4" t="s">
        <v>745</v>
      </c>
      <c r="C430" s="4" t="s">
        <v>549</v>
      </c>
      <c r="D430" s="4" t="s">
        <v>845</v>
      </c>
      <c r="E430" s="6">
        <v>5347</v>
      </c>
      <c r="F430" s="6">
        <v>5502</v>
      </c>
      <c r="G430" s="7">
        <f t="shared" si="91"/>
        <v>155</v>
      </c>
      <c r="H430" s="6">
        <v>5623</v>
      </c>
      <c r="I430" s="7">
        <f t="shared" si="68"/>
        <v>121</v>
      </c>
      <c r="J430" s="6">
        <v>0</v>
      </c>
      <c r="K430" s="6" t="s">
        <v>23</v>
      </c>
      <c r="L430" s="8">
        <f t="shared" si="103"/>
        <v>1745</v>
      </c>
      <c r="M430" s="8">
        <f t="shared" si="102"/>
        <v>1507</v>
      </c>
      <c r="N430" s="4" t="s">
        <v>24</v>
      </c>
      <c r="O430" s="6">
        <v>4</v>
      </c>
      <c r="P430" s="6">
        <v>200</v>
      </c>
      <c r="Q430" s="6">
        <v>7</v>
      </c>
      <c r="R430" s="4" t="s">
        <v>846</v>
      </c>
      <c r="S430" s="3">
        <v>850</v>
      </c>
      <c r="T430" s="4" t="s">
        <v>753</v>
      </c>
    </row>
    <row r="431" spans="1:20" ht="14.4">
      <c r="A431" s="3">
        <v>54</v>
      </c>
      <c r="B431" s="4" t="s">
        <v>745</v>
      </c>
      <c r="C431" s="4" t="s">
        <v>847</v>
      </c>
      <c r="D431" s="4" t="s">
        <v>848</v>
      </c>
      <c r="E431" s="6">
        <v>2128</v>
      </c>
      <c r="F431" s="6">
        <v>2347</v>
      </c>
      <c r="G431" s="7">
        <f t="shared" si="91"/>
        <v>219</v>
      </c>
      <c r="H431" s="6">
        <v>2635</v>
      </c>
      <c r="I431" s="7">
        <f t="shared" si="68"/>
        <v>288</v>
      </c>
      <c r="J431" s="6">
        <v>0</v>
      </c>
      <c r="K431" s="6" t="s">
        <v>23</v>
      </c>
      <c r="L431" s="8">
        <f t="shared" si="103"/>
        <v>2193</v>
      </c>
      <c r="M431" s="8">
        <f t="shared" si="102"/>
        <v>2676</v>
      </c>
      <c r="N431" s="4" t="s">
        <v>24</v>
      </c>
      <c r="O431" s="6">
        <v>4</v>
      </c>
      <c r="P431" s="6">
        <v>200</v>
      </c>
      <c r="Q431" s="6">
        <v>7</v>
      </c>
      <c r="R431" s="4" t="s">
        <v>849</v>
      </c>
      <c r="S431" s="3">
        <v>455</v>
      </c>
      <c r="T431" s="4" t="s">
        <v>748</v>
      </c>
    </row>
    <row r="432" spans="1:20" ht="14.4">
      <c r="A432" s="3">
        <v>55</v>
      </c>
      <c r="B432" s="4" t="s">
        <v>745</v>
      </c>
      <c r="C432" s="4" t="s">
        <v>847</v>
      </c>
      <c r="D432" s="4" t="s">
        <v>850</v>
      </c>
      <c r="E432" s="6">
        <v>6381</v>
      </c>
      <c r="F432" s="6">
        <v>6975</v>
      </c>
      <c r="G432" s="7">
        <f t="shared" si="91"/>
        <v>594</v>
      </c>
      <c r="H432" s="6">
        <v>7765</v>
      </c>
      <c r="I432" s="7">
        <f t="shared" si="68"/>
        <v>790</v>
      </c>
      <c r="J432" s="6">
        <v>0</v>
      </c>
      <c r="K432" s="6" t="s">
        <v>23</v>
      </c>
      <c r="L432" s="8">
        <f t="shared" si="103"/>
        <v>4818</v>
      </c>
      <c r="M432" s="8">
        <f t="shared" si="102"/>
        <v>6190</v>
      </c>
      <c r="N432" s="4" t="s">
        <v>24</v>
      </c>
      <c r="O432" s="6">
        <v>4</v>
      </c>
      <c r="P432" s="6">
        <v>200</v>
      </c>
      <c r="Q432" s="6">
        <v>7</v>
      </c>
      <c r="R432" s="4" t="s">
        <v>851</v>
      </c>
      <c r="S432" s="3">
        <v>595</v>
      </c>
      <c r="T432" s="4" t="s">
        <v>750</v>
      </c>
    </row>
    <row r="433" spans="1:20" ht="14.4">
      <c r="A433" s="3">
        <v>56</v>
      </c>
      <c r="B433" s="4" t="s">
        <v>745</v>
      </c>
      <c r="C433" s="4" t="s">
        <v>847</v>
      </c>
      <c r="D433" s="4" t="s">
        <v>852</v>
      </c>
      <c r="E433" s="6">
        <f t="shared" ref="E433:E434" si="104">J433</f>
        <v>0</v>
      </c>
      <c r="F433" s="6"/>
      <c r="G433" s="7">
        <f t="shared" si="91"/>
        <v>0</v>
      </c>
      <c r="H433" s="6">
        <v>0</v>
      </c>
      <c r="I433" s="7">
        <f t="shared" si="68"/>
        <v>0</v>
      </c>
      <c r="J433" s="6">
        <v>0</v>
      </c>
      <c r="K433" s="6" t="s">
        <v>23</v>
      </c>
      <c r="L433" s="8">
        <v>0</v>
      </c>
      <c r="M433" s="8">
        <f t="shared" si="102"/>
        <v>660</v>
      </c>
      <c r="N433" s="4" t="s">
        <v>24</v>
      </c>
      <c r="O433" s="6">
        <v>4</v>
      </c>
      <c r="P433" s="6">
        <v>200</v>
      </c>
      <c r="Q433" s="6">
        <v>7</v>
      </c>
      <c r="R433" s="4"/>
      <c r="S433" s="3">
        <v>850</v>
      </c>
      <c r="T433" s="4" t="s">
        <v>753</v>
      </c>
    </row>
    <row r="434" spans="1:20" ht="14.4">
      <c r="A434" s="3">
        <v>57</v>
      </c>
      <c r="B434" s="4" t="s">
        <v>745</v>
      </c>
      <c r="C434" s="4" t="s">
        <v>847</v>
      </c>
      <c r="D434" s="4" t="s">
        <v>853</v>
      </c>
      <c r="E434" s="6">
        <f t="shared" si="104"/>
        <v>0</v>
      </c>
      <c r="F434" s="6"/>
      <c r="G434" s="7">
        <f t="shared" si="91"/>
        <v>0</v>
      </c>
      <c r="H434" s="6">
        <v>0</v>
      </c>
      <c r="I434" s="7">
        <f t="shared" si="68"/>
        <v>0</v>
      </c>
      <c r="J434" s="6">
        <v>0</v>
      </c>
      <c r="K434" s="6" t="s">
        <v>23</v>
      </c>
      <c r="L434" s="8">
        <v>0</v>
      </c>
      <c r="M434" s="8">
        <f t="shared" si="102"/>
        <v>660</v>
      </c>
      <c r="N434" s="4" t="s">
        <v>24</v>
      </c>
      <c r="O434" s="6">
        <v>4</v>
      </c>
      <c r="P434" s="6">
        <v>200</v>
      </c>
      <c r="Q434" s="6">
        <v>7</v>
      </c>
      <c r="R434" s="4" t="s">
        <v>854</v>
      </c>
      <c r="S434" s="3">
        <v>850</v>
      </c>
      <c r="T434" s="4" t="s">
        <v>753</v>
      </c>
    </row>
    <row r="435" spans="1:20" ht="14.4">
      <c r="A435" s="3">
        <v>58</v>
      </c>
      <c r="B435" s="4" t="s">
        <v>745</v>
      </c>
      <c r="C435" s="4" t="s">
        <v>847</v>
      </c>
      <c r="D435" s="10" t="s">
        <v>855</v>
      </c>
      <c r="E435" s="6">
        <v>1294</v>
      </c>
      <c r="F435" s="6">
        <v>1633</v>
      </c>
      <c r="G435" s="7">
        <f t="shared" si="91"/>
        <v>339</v>
      </c>
      <c r="H435" s="6">
        <v>1902</v>
      </c>
      <c r="I435" s="7">
        <f t="shared" si="68"/>
        <v>269</v>
      </c>
      <c r="J435" s="6">
        <v>0</v>
      </c>
      <c r="K435" s="6" t="s">
        <v>23</v>
      </c>
      <c r="L435" s="8">
        <f t="shared" ref="L435:L439" si="105">G435*Q435+P435+O435*115</f>
        <v>3033</v>
      </c>
      <c r="M435" s="8">
        <f t="shared" si="102"/>
        <v>2543</v>
      </c>
      <c r="N435" s="4" t="s">
        <v>24</v>
      </c>
      <c r="O435" s="6">
        <v>4</v>
      </c>
      <c r="P435" s="6">
        <v>200</v>
      </c>
      <c r="Q435" s="6">
        <v>7</v>
      </c>
      <c r="R435" s="4" t="s">
        <v>856</v>
      </c>
      <c r="S435" s="3">
        <v>1100</v>
      </c>
      <c r="T435" s="4" t="s">
        <v>766</v>
      </c>
    </row>
    <row r="436" spans="1:20" ht="14.4">
      <c r="A436" s="3">
        <v>59</v>
      </c>
      <c r="B436" s="4" t="s">
        <v>745</v>
      </c>
      <c r="C436" s="4" t="s">
        <v>847</v>
      </c>
      <c r="D436" s="4" t="s">
        <v>857</v>
      </c>
      <c r="E436" s="6">
        <v>2232</v>
      </c>
      <c r="F436" s="6">
        <v>2361</v>
      </c>
      <c r="G436" s="7">
        <f t="shared" si="91"/>
        <v>129</v>
      </c>
      <c r="H436" s="6">
        <v>2513</v>
      </c>
      <c r="I436" s="7">
        <f t="shared" si="68"/>
        <v>152</v>
      </c>
      <c r="J436" s="6">
        <v>0</v>
      </c>
      <c r="K436" s="6" t="s">
        <v>23</v>
      </c>
      <c r="L436" s="8">
        <f t="shared" si="105"/>
        <v>1563</v>
      </c>
      <c r="M436" s="8">
        <f t="shared" si="102"/>
        <v>1724</v>
      </c>
      <c r="N436" s="4" t="s">
        <v>24</v>
      </c>
      <c r="O436" s="6">
        <v>4</v>
      </c>
      <c r="P436" s="6">
        <v>200</v>
      </c>
      <c r="Q436" s="6">
        <v>7</v>
      </c>
      <c r="R436" s="4" t="s">
        <v>858</v>
      </c>
      <c r="S436" s="3">
        <v>850</v>
      </c>
      <c r="T436" s="4" t="s">
        <v>753</v>
      </c>
    </row>
    <row r="437" spans="1:20" ht="14.4">
      <c r="A437" s="3">
        <v>60</v>
      </c>
      <c r="B437" s="4" t="s">
        <v>745</v>
      </c>
      <c r="C437" s="4" t="s">
        <v>847</v>
      </c>
      <c r="D437" s="4" t="s">
        <v>859</v>
      </c>
      <c r="E437" s="6">
        <v>4391</v>
      </c>
      <c r="F437" s="6">
        <v>4695</v>
      </c>
      <c r="G437" s="7">
        <f t="shared" si="91"/>
        <v>304</v>
      </c>
      <c r="H437" s="6">
        <v>5016</v>
      </c>
      <c r="I437" s="7">
        <f t="shared" si="68"/>
        <v>321</v>
      </c>
      <c r="J437" s="6">
        <v>0</v>
      </c>
      <c r="K437" s="6" t="s">
        <v>23</v>
      </c>
      <c r="L437" s="8">
        <f t="shared" si="105"/>
        <v>2788</v>
      </c>
      <c r="M437" s="8">
        <f t="shared" si="102"/>
        <v>2907</v>
      </c>
      <c r="N437" s="4" t="s">
        <v>24</v>
      </c>
      <c r="O437" s="6">
        <v>4</v>
      </c>
      <c r="P437" s="6">
        <v>200</v>
      </c>
      <c r="Q437" s="6">
        <v>7</v>
      </c>
      <c r="R437" s="4" t="s">
        <v>860</v>
      </c>
      <c r="S437" s="3">
        <v>850</v>
      </c>
      <c r="T437" s="4" t="s">
        <v>753</v>
      </c>
    </row>
    <row r="438" spans="1:20" ht="14.4">
      <c r="A438" s="3">
        <v>61</v>
      </c>
      <c r="B438" s="4" t="s">
        <v>745</v>
      </c>
      <c r="C438" s="4" t="s">
        <v>847</v>
      </c>
      <c r="D438" s="4" t="s">
        <v>861</v>
      </c>
      <c r="E438" s="6">
        <v>11234</v>
      </c>
      <c r="F438" s="6">
        <v>11786</v>
      </c>
      <c r="G438" s="7">
        <f t="shared" si="91"/>
        <v>552</v>
      </c>
      <c r="H438" s="6">
        <v>12318</v>
      </c>
      <c r="I438" s="7">
        <f t="shared" si="68"/>
        <v>532</v>
      </c>
      <c r="J438" s="6">
        <v>0</v>
      </c>
      <c r="K438" s="6" t="s">
        <v>23</v>
      </c>
      <c r="L438" s="8">
        <f t="shared" si="105"/>
        <v>4524</v>
      </c>
      <c r="M438" s="8">
        <f t="shared" si="102"/>
        <v>4384</v>
      </c>
      <c r="N438" s="4" t="s">
        <v>24</v>
      </c>
      <c r="O438" s="6">
        <v>4</v>
      </c>
      <c r="P438" s="6">
        <v>200</v>
      </c>
      <c r="Q438" s="6">
        <v>7</v>
      </c>
      <c r="R438" s="4" t="s">
        <v>862</v>
      </c>
      <c r="S438" s="3">
        <v>850</v>
      </c>
      <c r="T438" s="4" t="s">
        <v>753</v>
      </c>
    </row>
    <row r="439" spans="1:20" ht="14.4">
      <c r="A439" s="3">
        <v>62</v>
      </c>
      <c r="B439" s="4" t="s">
        <v>745</v>
      </c>
      <c r="C439" s="4" t="s">
        <v>579</v>
      </c>
      <c r="D439" s="4" t="s">
        <v>863</v>
      </c>
      <c r="E439" s="6">
        <v>2157</v>
      </c>
      <c r="F439" s="6">
        <v>2493</v>
      </c>
      <c r="G439" s="7">
        <f t="shared" si="91"/>
        <v>336</v>
      </c>
      <c r="H439" s="6">
        <v>3010</v>
      </c>
      <c r="I439" s="7">
        <f t="shared" si="68"/>
        <v>517</v>
      </c>
      <c r="J439" s="6">
        <v>0</v>
      </c>
      <c r="K439" s="6" t="s">
        <v>23</v>
      </c>
      <c r="L439" s="8">
        <f t="shared" si="105"/>
        <v>3012</v>
      </c>
      <c r="M439" s="8">
        <f t="shared" si="102"/>
        <v>4279</v>
      </c>
      <c r="N439" s="4" t="s">
        <v>24</v>
      </c>
      <c r="O439" s="6">
        <v>4</v>
      </c>
      <c r="P439" s="6">
        <v>200</v>
      </c>
      <c r="Q439" s="6">
        <v>7</v>
      </c>
      <c r="R439" s="4" t="s">
        <v>864</v>
      </c>
      <c r="S439" s="3">
        <v>455</v>
      </c>
      <c r="T439" s="4" t="s">
        <v>748</v>
      </c>
    </row>
    <row r="440" spans="1:20" ht="14.4">
      <c r="A440" s="3">
        <v>63</v>
      </c>
      <c r="B440" s="4" t="s">
        <v>745</v>
      </c>
      <c r="C440" s="4" t="s">
        <v>579</v>
      </c>
      <c r="D440" s="4" t="s">
        <v>865</v>
      </c>
      <c r="E440" s="6">
        <f>J440</f>
        <v>0</v>
      </c>
      <c r="F440" s="6"/>
      <c r="G440" s="7">
        <f t="shared" si="91"/>
        <v>0</v>
      </c>
      <c r="H440" s="6">
        <v>0</v>
      </c>
      <c r="I440" s="7">
        <f t="shared" si="68"/>
        <v>0</v>
      </c>
      <c r="J440" s="6">
        <v>0</v>
      </c>
      <c r="K440" s="6" t="s">
        <v>23</v>
      </c>
      <c r="L440" s="8">
        <v>0</v>
      </c>
      <c r="M440" s="8">
        <f t="shared" si="102"/>
        <v>660</v>
      </c>
      <c r="N440" s="4" t="s">
        <v>24</v>
      </c>
      <c r="O440" s="6">
        <v>4</v>
      </c>
      <c r="P440" s="6">
        <v>200</v>
      </c>
      <c r="Q440" s="6">
        <v>7</v>
      </c>
      <c r="R440" s="4"/>
      <c r="S440" s="3">
        <v>595</v>
      </c>
      <c r="T440" s="4" t="s">
        <v>750</v>
      </c>
    </row>
    <row r="441" spans="1:20" ht="14.4">
      <c r="A441" s="3">
        <v>64</v>
      </c>
      <c r="B441" s="4" t="s">
        <v>745</v>
      </c>
      <c r="C441" s="4" t="s">
        <v>579</v>
      </c>
      <c r="D441" s="4" t="s">
        <v>866</v>
      </c>
      <c r="E441" s="6">
        <v>523</v>
      </c>
      <c r="F441" s="6">
        <v>889</v>
      </c>
      <c r="G441" s="7">
        <f t="shared" si="91"/>
        <v>366</v>
      </c>
      <c r="H441" s="6">
        <v>1541</v>
      </c>
      <c r="I441" s="7">
        <f t="shared" si="68"/>
        <v>652</v>
      </c>
      <c r="J441" s="6">
        <v>0</v>
      </c>
      <c r="K441" s="6" t="s">
        <v>23</v>
      </c>
      <c r="L441" s="8">
        <f>G441*Q441+P441+O441*115</f>
        <v>3222</v>
      </c>
      <c r="M441" s="8">
        <f t="shared" si="102"/>
        <v>5224</v>
      </c>
      <c r="N441" s="4" t="s">
        <v>24</v>
      </c>
      <c r="O441" s="6">
        <v>4</v>
      </c>
      <c r="P441" s="6">
        <v>200</v>
      </c>
      <c r="Q441" s="6">
        <v>7</v>
      </c>
      <c r="R441" s="4" t="s">
        <v>867</v>
      </c>
      <c r="S441" s="3">
        <v>850</v>
      </c>
      <c r="T441" s="4" t="s">
        <v>753</v>
      </c>
    </row>
    <row r="442" spans="1:20" ht="14.4">
      <c r="A442" s="3">
        <v>65</v>
      </c>
      <c r="B442" s="4" t="s">
        <v>745</v>
      </c>
      <c r="C442" s="4" t="s">
        <v>579</v>
      </c>
      <c r="D442" s="4" t="s">
        <v>868</v>
      </c>
      <c r="E442" s="6">
        <f t="shared" ref="E442:E443" si="106">J442</f>
        <v>0</v>
      </c>
      <c r="F442" s="6"/>
      <c r="G442" s="7">
        <f t="shared" si="91"/>
        <v>0</v>
      </c>
      <c r="H442" s="6">
        <v>0</v>
      </c>
      <c r="I442" s="7">
        <f t="shared" si="68"/>
        <v>0</v>
      </c>
      <c r="J442" s="6">
        <v>0</v>
      </c>
      <c r="K442" s="6" t="s">
        <v>23</v>
      </c>
      <c r="L442" s="8">
        <v>0</v>
      </c>
      <c r="M442" s="8">
        <f t="shared" si="102"/>
        <v>660</v>
      </c>
      <c r="N442" s="4" t="s">
        <v>24</v>
      </c>
      <c r="O442" s="6">
        <v>4</v>
      </c>
      <c r="P442" s="6">
        <v>200</v>
      </c>
      <c r="Q442" s="6">
        <v>7</v>
      </c>
      <c r="R442" s="4" t="s">
        <v>869</v>
      </c>
      <c r="S442" s="3">
        <v>850</v>
      </c>
      <c r="T442" s="4" t="s">
        <v>753</v>
      </c>
    </row>
    <row r="443" spans="1:20" ht="14.4">
      <c r="A443" s="3">
        <v>66</v>
      </c>
      <c r="B443" s="4" t="s">
        <v>745</v>
      </c>
      <c r="C443" s="4" t="s">
        <v>579</v>
      </c>
      <c r="D443" s="4" t="s">
        <v>870</v>
      </c>
      <c r="E443" s="6">
        <f t="shared" si="106"/>
        <v>0</v>
      </c>
      <c r="F443" s="6"/>
      <c r="G443" s="7">
        <f t="shared" si="91"/>
        <v>0</v>
      </c>
      <c r="H443" s="6">
        <v>0</v>
      </c>
      <c r="I443" s="7">
        <f t="shared" si="68"/>
        <v>0</v>
      </c>
      <c r="J443" s="6">
        <v>0</v>
      </c>
      <c r="K443" s="6" t="s">
        <v>23</v>
      </c>
      <c r="L443" s="8">
        <v>0</v>
      </c>
      <c r="M443" s="8">
        <f t="shared" si="102"/>
        <v>660</v>
      </c>
      <c r="N443" s="4" t="s">
        <v>24</v>
      </c>
      <c r="O443" s="6">
        <v>4</v>
      </c>
      <c r="P443" s="6">
        <v>200</v>
      </c>
      <c r="Q443" s="6">
        <v>7</v>
      </c>
      <c r="R443" s="4"/>
      <c r="S443" s="3">
        <v>1100</v>
      </c>
      <c r="T443" s="4" t="s">
        <v>766</v>
      </c>
    </row>
    <row r="444" spans="1:20" ht="14.4">
      <c r="A444" s="3">
        <v>67</v>
      </c>
      <c r="B444" s="4" t="s">
        <v>745</v>
      </c>
      <c r="C444" s="4" t="s">
        <v>579</v>
      </c>
      <c r="D444" s="4" t="s">
        <v>871</v>
      </c>
      <c r="E444" s="6">
        <v>2682</v>
      </c>
      <c r="F444" s="6">
        <v>2738</v>
      </c>
      <c r="G444" s="7">
        <f t="shared" si="91"/>
        <v>56</v>
      </c>
      <c r="H444" s="6">
        <v>2789</v>
      </c>
      <c r="I444" s="7">
        <f t="shared" si="68"/>
        <v>51</v>
      </c>
      <c r="J444" s="6">
        <v>0</v>
      </c>
      <c r="K444" s="6" t="s">
        <v>23</v>
      </c>
      <c r="L444" s="8">
        <f t="shared" ref="L444:L446" si="107">G444*Q444+P444+O444*115</f>
        <v>1052</v>
      </c>
      <c r="M444" s="8">
        <f t="shared" si="102"/>
        <v>1017</v>
      </c>
      <c r="N444" s="4" t="s">
        <v>24</v>
      </c>
      <c r="O444" s="6">
        <v>4</v>
      </c>
      <c r="P444" s="6">
        <v>200</v>
      </c>
      <c r="Q444" s="6">
        <v>7</v>
      </c>
      <c r="R444" s="4" t="s">
        <v>872</v>
      </c>
      <c r="S444" s="3">
        <v>850</v>
      </c>
      <c r="T444" s="4" t="s">
        <v>753</v>
      </c>
    </row>
    <row r="445" spans="1:20" ht="14.4">
      <c r="A445" s="3">
        <v>68</v>
      </c>
      <c r="B445" s="4" t="s">
        <v>745</v>
      </c>
      <c r="C445" s="4" t="s">
        <v>579</v>
      </c>
      <c r="D445" s="4" t="s">
        <v>873</v>
      </c>
      <c r="E445" s="6">
        <v>848</v>
      </c>
      <c r="F445" s="6">
        <v>904</v>
      </c>
      <c r="G445" s="7">
        <f t="shared" si="91"/>
        <v>56</v>
      </c>
      <c r="H445" s="6">
        <v>1002</v>
      </c>
      <c r="I445" s="7">
        <f t="shared" si="68"/>
        <v>98</v>
      </c>
      <c r="J445" s="6">
        <v>0</v>
      </c>
      <c r="K445" s="6" t="s">
        <v>23</v>
      </c>
      <c r="L445" s="8">
        <f t="shared" si="107"/>
        <v>1052</v>
      </c>
      <c r="M445" s="8">
        <f t="shared" si="102"/>
        <v>1346</v>
      </c>
      <c r="N445" s="4" t="s">
        <v>24</v>
      </c>
      <c r="O445" s="6">
        <v>4</v>
      </c>
      <c r="P445" s="6">
        <v>200</v>
      </c>
      <c r="Q445" s="6">
        <v>7</v>
      </c>
      <c r="R445" s="4" t="s">
        <v>874</v>
      </c>
      <c r="S445" s="3">
        <v>850</v>
      </c>
      <c r="T445" s="4" t="s">
        <v>753</v>
      </c>
    </row>
    <row r="446" spans="1:20" ht="14.4">
      <c r="A446" s="3">
        <v>69</v>
      </c>
      <c r="B446" s="4" t="s">
        <v>745</v>
      </c>
      <c r="C446" s="4" t="s">
        <v>579</v>
      </c>
      <c r="D446" s="4" t="s">
        <v>875</v>
      </c>
      <c r="E446" s="6">
        <v>9695</v>
      </c>
      <c r="F446" s="6">
        <v>9860</v>
      </c>
      <c r="G446" s="7">
        <f t="shared" si="91"/>
        <v>165</v>
      </c>
      <c r="H446" s="6">
        <v>10069</v>
      </c>
      <c r="I446" s="7">
        <f t="shared" si="68"/>
        <v>209</v>
      </c>
      <c r="J446" s="6">
        <v>0</v>
      </c>
      <c r="K446" s="6" t="s">
        <v>23</v>
      </c>
      <c r="L446" s="8">
        <f t="shared" si="107"/>
        <v>1815</v>
      </c>
      <c r="M446" s="8">
        <f t="shared" si="102"/>
        <v>2123</v>
      </c>
      <c r="N446" s="4" t="s">
        <v>24</v>
      </c>
      <c r="O446" s="6">
        <v>4</v>
      </c>
      <c r="P446" s="6">
        <v>200</v>
      </c>
      <c r="Q446" s="6">
        <v>7</v>
      </c>
      <c r="R446" s="4" t="s">
        <v>876</v>
      </c>
      <c r="S446" s="3">
        <v>850</v>
      </c>
      <c r="T446" s="4" t="s">
        <v>753</v>
      </c>
    </row>
    <row r="447" spans="1:20" ht="14.4">
      <c r="A447" s="3">
        <v>70</v>
      </c>
      <c r="B447" s="4" t="s">
        <v>745</v>
      </c>
      <c r="C447" s="4" t="s">
        <v>595</v>
      </c>
      <c r="D447" s="4" t="s">
        <v>877</v>
      </c>
      <c r="E447" s="6">
        <v>55</v>
      </c>
      <c r="F447" s="6">
        <v>55</v>
      </c>
      <c r="G447" s="7">
        <f t="shared" si="91"/>
        <v>0</v>
      </c>
      <c r="H447" s="6">
        <v>56</v>
      </c>
      <c r="I447" s="7">
        <f t="shared" si="68"/>
        <v>1</v>
      </c>
      <c r="J447" s="6">
        <v>0</v>
      </c>
      <c r="K447" s="6" t="s">
        <v>23</v>
      </c>
      <c r="L447" s="8">
        <v>0</v>
      </c>
      <c r="M447" s="8">
        <f t="shared" si="102"/>
        <v>667</v>
      </c>
      <c r="N447" s="4" t="s">
        <v>24</v>
      </c>
      <c r="O447" s="6">
        <v>4</v>
      </c>
      <c r="P447" s="6">
        <v>200</v>
      </c>
      <c r="Q447" s="6">
        <v>7</v>
      </c>
      <c r="R447" s="4"/>
      <c r="S447" s="3">
        <v>455</v>
      </c>
      <c r="T447" s="4" t="s">
        <v>748</v>
      </c>
    </row>
    <row r="448" spans="1:20" ht="14.4">
      <c r="A448" s="3">
        <v>71</v>
      </c>
      <c r="B448" s="4" t="s">
        <v>745</v>
      </c>
      <c r="C448" s="4" t="s">
        <v>595</v>
      </c>
      <c r="D448" s="4" t="s">
        <v>878</v>
      </c>
      <c r="E448" s="6">
        <v>5394</v>
      </c>
      <c r="F448" s="6">
        <v>5394</v>
      </c>
      <c r="G448" s="7">
        <f t="shared" si="91"/>
        <v>0</v>
      </c>
      <c r="H448" s="6">
        <v>5656</v>
      </c>
      <c r="I448" s="7">
        <f t="shared" si="68"/>
        <v>262</v>
      </c>
      <c r="J448" s="6">
        <v>0</v>
      </c>
      <c r="K448" s="6" t="s">
        <v>23</v>
      </c>
      <c r="L448" s="8">
        <v>0</v>
      </c>
      <c r="M448" s="8">
        <f t="shared" si="102"/>
        <v>2494</v>
      </c>
      <c r="N448" s="4" t="s">
        <v>24</v>
      </c>
      <c r="O448" s="6">
        <v>4</v>
      </c>
      <c r="P448" s="6">
        <v>200</v>
      </c>
      <c r="Q448" s="6">
        <v>7</v>
      </c>
      <c r="R448" s="4" t="s">
        <v>879</v>
      </c>
      <c r="S448" s="3">
        <v>595</v>
      </c>
      <c r="T448" s="4" t="s">
        <v>750</v>
      </c>
    </row>
    <row r="449" spans="1:20" ht="14.4">
      <c r="A449" s="3">
        <v>72</v>
      </c>
      <c r="B449" s="4" t="s">
        <v>745</v>
      </c>
      <c r="C449" s="4" t="s">
        <v>595</v>
      </c>
      <c r="D449" s="4" t="s">
        <v>880</v>
      </c>
      <c r="E449" s="6">
        <v>5666</v>
      </c>
      <c r="F449" s="6">
        <v>6081</v>
      </c>
      <c r="G449" s="7">
        <f t="shared" si="91"/>
        <v>415</v>
      </c>
      <c r="H449" s="6">
        <v>6389</v>
      </c>
      <c r="I449" s="7">
        <f t="shared" si="68"/>
        <v>308</v>
      </c>
      <c r="J449" s="6">
        <v>0</v>
      </c>
      <c r="K449" s="6" t="s">
        <v>23</v>
      </c>
      <c r="L449" s="8">
        <f t="shared" ref="L449:L450" si="108">G449*Q449+P449+O449*115</f>
        <v>3565</v>
      </c>
      <c r="M449" s="8">
        <f t="shared" si="102"/>
        <v>2816</v>
      </c>
      <c r="N449" s="4" t="s">
        <v>24</v>
      </c>
      <c r="O449" s="6">
        <v>4</v>
      </c>
      <c r="P449" s="6">
        <v>200</v>
      </c>
      <c r="Q449" s="6">
        <v>7</v>
      </c>
      <c r="R449" s="4" t="s">
        <v>881</v>
      </c>
      <c r="S449" s="3">
        <v>850</v>
      </c>
      <c r="T449" s="4" t="s">
        <v>753</v>
      </c>
    </row>
    <row r="450" spans="1:20" ht="14.4">
      <c r="A450" s="3">
        <v>73</v>
      </c>
      <c r="B450" s="4" t="s">
        <v>745</v>
      </c>
      <c r="C450" s="4" t="s">
        <v>595</v>
      </c>
      <c r="D450" s="4" t="s">
        <v>882</v>
      </c>
      <c r="E450" s="6">
        <v>2630</v>
      </c>
      <c r="F450" s="6">
        <v>2979</v>
      </c>
      <c r="G450" s="7">
        <f t="shared" si="91"/>
        <v>349</v>
      </c>
      <c r="H450" s="6">
        <v>3375</v>
      </c>
      <c r="I450" s="7">
        <f t="shared" si="68"/>
        <v>396</v>
      </c>
      <c r="J450" s="6">
        <v>0</v>
      </c>
      <c r="K450" s="6" t="s">
        <v>23</v>
      </c>
      <c r="L450" s="8">
        <f t="shared" si="108"/>
        <v>3103</v>
      </c>
      <c r="M450" s="8">
        <f t="shared" si="102"/>
        <v>3432</v>
      </c>
      <c r="N450" s="4" t="s">
        <v>24</v>
      </c>
      <c r="O450" s="6">
        <v>4</v>
      </c>
      <c r="P450" s="6">
        <v>200</v>
      </c>
      <c r="Q450" s="6">
        <v>7</v>
      </c>
      <c r="R450" s="4" t="s">
        <v>883</v>
      </c>
      <c r="S450" s="3">
        <v>850</v>
      </c>
      <c r="T450" s="4" t="s">
        <v>753</v>
      </c>
    </row>
    <row r="451" spans="1:20" ht="14.4">
      <c r="A451" s="3">
        <v>74</v>
      </c>
      <c r="B451" s="4" t="s">
        <v>745</v>
      </c>
      <c r="C451" s="4" t="s">
        <v>595</v>
      </c>
      <c r="D451" s="4" t="s">
        <v>884</v>
      </c>
      <c r="E451" s="6">
        <f>J451</f>
        <v>0</v>
      </c>
      <c r="F451" s="6"/>
      <c r="G451" s="7">
        <f t="shared" si="91"/>
        <v>0</v>
      </c>
      <c r="H451" s="6">
        <v>0</v>
      </c>
      <c r="I451" s="7">
        <f t="shared" si="68"/>
        <v>0</v>
      </c>
      <c r="J451" s="6">
        <v>0</v>
      </c>
      <c r="K451" s="6" t="s">
        <v>23</v>
      </c>
      <c r="L451" s="8">
        <v>0</v>
      </c>
      <c r="M451" s="8">
        <f t="shared" si="102"/>
        <v>660</v>
      </c>
      <c r="N451" s="4" t="s">
        <v>24</v>
      </c>
      <c r="O451" s="6">
        <v>4</v>
      </c>
      <c r="P451" s="6">
        <v>200</v>
      </c>
      <c r="Q451" s="6">
        <v>7</v>
      </c>
      <c r="R451" s="4"/>
      <c r="S451" s="3">
        <v>1100</v>
      </c>
      <c r="T451" s="4" t="s">
        <v>766</v>
      </c>
    </row>
    <row r="452" spans="1:20" ht="14.4">
      <c r="A452" s="3">
        <v>75</v>
      </c>
      <c r="B452" s="4" t="s">
        <v>745</v>
      </c>
      <c r="C452" s="4" t="s">
        <v>595</v>
      </c>
      <c r="D452" s="4" t="s">
        <v>885</v>
      </c>
      <c r="E452" s="6">
        <v>17868</v>
      </c>
      <c r="F452" s="6">
        <v>18366</v>
      </c>
      <c r="G452" s="7">
        <f t="shared" si="91"/>
        <v>498</v>
      </c>
      <c r="H452" s="6">
        <v>18915</v>
      </c>
      <c r="I452" s="7">
        <f t="shared" si="68"/>
        <v>549</v>
      </c>
      <c r="J452" s="6">
        <v>0</v>
      </c>
      <c r="K452" s="6" t="s">
        <v>23</v>
      </c>
      <c r="L452" s="8">
        <f t="shared" ref="L452:L457" si="109">G452*Q452+P452+O452*115</f>
        <v>4146</v>
      </c>
      <c r="M452" s="8">
        <f t="shared" si="102"/>
        <v>4503</v>
      </c>
      <c r="N452" s="4" t="s">
        <v>24</v>
      </c>
      <c r="O452" s="6">
        <v>4</v>
      </c>
      <c r="P452" s="6">
        <v>200</v>
      </c>
      <c r="Q452" s="6">
        <v>7</v>
      </c>
      <c r="R452" s="4" t="s">
        <v>217</v>
      </c>
      <c r="S452" s="3">
        <v>850</v>
      </c>
      <c r="T452" s="4" t="s">
        <v>753</v>
      </c>
    </row>
    <row r="453" spans="1:20" ht="14.4">
      <c r="A453" s="3">
        <v>76</v>
      </c>
      <c r="B453" s="4" t="s">
        <v>745</v>
      </c>
      <c r="C453" s="4" t="s">
        <v>595</v>
      </c>
      <c r="D453" s="4" t="s">
        <v>886</v>
      </c>
      <c r="E453" s="6">
        <v>5376</v>
      </c>
      <c r="F453" s="6">
        <v>5736</v>
      </c>
      <c r="G453" s="7">
        <f t="shared" si="91"/>
        <v>360</v>
      </c>
      <c r="H453" s="6">
        <v>6184</v>
      </c>
      <c r="I453" s="7">
        <f t="shared" si="68"/>
        <v>448</v>
      </c>
      <c r="J453" s="6">
        <v>0</v>
      </c>
      <c r="K453" s="6" t="s">
        <v>23</v>
      </c>
      <c r="L453" s="8">
        <f t="shared" si="109"/>
        <v>3180</v>
      </c>
      <c r="M453" s="8">
        <f t="shared" si="102"/>
        <v>3796</v>
      </c>
      <c r="N453" s="4" t="s">
        <v>24</v>
      </c>
      <c r="O453" s="6">
        <v>4</v>
      </c>
      <c r="P453" s="6">
        <v>200</v>
      </c>
      <c r="Q453" s="6">
        <v>7</v>
      </c>
      <c r="R453" s="4" t="s">
        <v>887</v>
      </c>
      <c r="S453" s="3">
        <v>850</v>
      </c>
      <c r="T453" s="4" t="s">
        <v>753</v>
      </c>
    </row>
    <row r="454" spans="1:20" ht="14.4">
      <c r="A454" s="3">
        <v>77</v>
      </c>
      <c r="B454" s="4" t="s">
        <v>745</v>
      </c>
      <c r="C454" s="4" t="s">
        <v>595</v>
      </c>
      <c r="D454" s="4" t="s">
        <v>888</v>
      </c>
      <c r="E454" s="6">
        <v>6997</v>
      </c>
      <c r="F454" s="6">
        <v>7983</v>
      </c>
      <c r="G454" s="7">
        <f t="shared" si="91"/>
        <v>986</v>
      </c>
      <c r="H454" s="6">
        <v>8144</v>
      </c>
      <c r="I454" s="7">
        <f t="shared" si="68"/>
        <v>161</v>
      </c>
      <c r="J454" s="6">
        <v>0</v>
      </c>
      <c r="K454" s="6" t="s">
        <v>23</v>
      </c>
      <c r="L454" s="8">
        <f t="shared" si="109"/>
        <v>7562</v>
      </c>
      <c r="M454" s="8">
        <f t="shared" si="102"/>
        <v>1787</v>
      </c>
      <c r="N454" s="4" t="s">
        <v>24</v>
      </c>
      <c r="O454" s="6">
        <v>4</v>
      </c>
      <c r="P454" s="6">
        <v>200</v>
      </c>
      <c r="Q454" s="6">
        <v>7</v>
      </c>
      <c r="R454" s="4" t="s">
        <v>889</v>
      </c>
      <c r="S454" s="3">
        <v>850</v>
      </c>
      <c r="T454" s="4" t="s">
        <v>753</v>
      </c>
    </row>
    <row r="455" spans="1:20" ht="14.4">
      <c r="A455" s="3">
        <v>78</v>
      </c>
      <c r="B455" s="4" t="s">
        <v>745</v>
      </c>
      <c r="C455" s="4" t="s">
        <v>611</v>
      </c>
      <c r="D455" s="4" t="s">
        <v>890</v>
      </c>
      <c r="E455" s="6">
        <v>6689</v>
      </c>
      <c r="F455" s="6">
        <v>7124</v>
      </c>
      <c r="G455" s="7">
        <f t="shared" si="91"/>
        <v>435</v>
      </c>
      <c r="H455" s="6">
        <v>7601</v>
      </c>
      <c r="I455" s="7">
        <f t="shared" si="68"/>
        <v>477</v>
      </c>
      <c r="J455" s="6">
        <v>0</v>
      </c>
      <c r="K455" s="6" t="s">
        <v>23</v>
      </c>
      <c r="L455" s="8">
        <f t="shared" si="109"/>
        <v>3705</v>
      </c>
      <c r="M455" s="8">
        <f t="shared" si="102"/>
        <v>3999</v>
      </c>
      <c r="N455" s="4" t="s">
        <v>24</v>
      </c>
      <c r="O455" s="6">
        <v>4</v>
      </c>
      <c r="P455" s="6">
        <v>200</v>
      </c>
      <c r="Q455" s="6">
        <v>7</v>
      </c>
      <c r="R455" s="4" t="s">
        <v>891</v>
      </c>
      <c r="S455" s="3">
        <v>455</v>
      </c>
      <c r="T455" s="4" t="s">
        <v>748</v>
      </c>
    </row>
    <row r="456" spans="1:20" ht="14.4">
      <c r="A456" s="3">
        <v>79</v>
      </c>
      <c r="B456" s="4" t="s">
        <v>745</v>
      </c>
      <c r="C456" s="4" t="s">
        <v>611</v>
      </c>
      <c r="D456" s="4" t="s">
        <v>892</v>
      </c>
      <c r="E456" s="6">
        <v>4579</v>
      </c>
      <c r="F456" s="6">
        <v>5351</v>
      </c>
      <c r="G456" s="7">
        <f t="shared" si="91"/>
        <v>772</v>
      </c>
      <c r="H456" s="6">
        <v>5669</v>
      </c>
      <c r="I456" s="7">
        <f t="shared" si="68"/>
        <v>318</v>
      </c>
      <c r="J456" s="6">
        <v>0</v>
      </c>
      <c r="K456" s="6" t="s">
        <v>23</v>
      </c>
      <c r="L456" s="8">
        <f t="shared" si="109"/>
        <v>6064</v>
      </c>
      <c r="M456" s="8">
        <f t="shared" si="102"/>
        <v>2886</v>
      </c>
      <c r="N456" s="4" t="s">
        <v>24</v>
      </c>
      <c r="O456" s="6">
        <v>4</v>
      </c>
      <c r="P456" s="6">
        <v>200</v>
      </c>
      <c r="Q456" s="6">
        <v>7</v>
      </c>
      <c r="R456" s="4"/>
      <c r="S456" s="3">
        <v>595</v>
      </c>
      <c r="T456" s="4" t="s">
        <v>750</v>
      </c>
    </row>
    <row r="457" spans="1:20" ht="14.4">
      <c r="A457" s="3">
        <v>80</v>
      </c>
      <c r="B457" s="4" t="s">
        <v>745</v>
      </c>
      <c r="C457" s="4" t="s">
        <v>611</v>
      </c>
      <c r="D457" s="4" t="s">
        <v>893</v>
      </c>
      <c r="E457" s="6">
        <v>875</v>
      </c>
      <c r="F457" s="6">
        <v>1103</v>
      </c>
      <c r="G457" s="7">
        <f t="shared" si="91"/>
        <v>228</v>
      </c>
      <c r="H457" s="6">
        <v>1342</v>
      </c>
      <c r="I457" s="7">
        <f t="shared" si="68"/>
        <v>239</v>
      </c>
      <c r="J457" s="6">
        <v>0</v>
      </c>
      <c r="K457" s="6" t="s">
        <v>23</v>
      </c>
      <c r="L457" s="8">
        <f t="shared" si="109"/>
        <v>2256</v>
      </c>
      <c r="M457" s="8">
        <f t="shared" si="102"/>
        <v>2333</v>
      </c>
      <c r="N457" s="4" t="s">
        <v>24</v>
      </c>
      <c r="O457" s="6">
        <v>4</v>
      </c>
      <c r="P457" s="6">
        <v>200</v>
      </c>
      <c r="Q457" s="6">
        <v>7</v>
      </c>
      <c r="R457" s="4" t="s">
        <v>894</v>
      </c>
      <c r="S457" s="3">
        <v>850</v>
      </c>
      <c r="T457" s="4" t="s">
        <v>753</v>
      </c>
    </row>
    <row r="458" spans="1:20" ht="14.4">
      <c r="A458" s="3">
        <v>81</v>
      </c>
      <c r="B458" s="4" t="s">
        <v>745</v>
      </c>
      <c r="C458" s="4" t="s">
        <v>611</v>
      </c>
      <c r="D458" s="4" t="s">
        <v>895</v>
      </c>
      <c r="E458" s="6">
        <f t="shared" ref="E458:E459" si="110">J458</f>
        <v>0</v>
      </c>
      <c r="F458" s="6"/>
      <c r="G458" s="7">
        <f t="shared" si="91"/>
        <v>0</v>
      </c>
      <c r="H458" s="6">
        <v>0</v>
      </c>
      <c r="I458" s="7">
        <f t="shared" si="68"/>
        <v>0</v>
      </c>
      <c r="J458" s="6">
        <v>0</v>
      </c>
      <c r="K458" s="6" t="s">
        <v>23</v>
      </c>
      <c r="L458" s="8">
        <v>0</v>
      </c>
      <c r="M458" s="8">
        <f t="shared" si="102"/>
        <v>660</v>
      </c>
      <c r="N458" s="4" t="s">
        <v>24</v>
      </c>
      <c r="O458" s="6">
        <v>4</v>
      </c>
      <c r="P458" s="6">
        <v>200</v>
      </c>
      <c r="Q458" s="6">
        <v>7</v>
      </c>
      <c r="R458" s="4"/>
      <c r="S458" s="3">
        <v>850</v>
      </c>
      <c r="T458" s="4" t="s">
        <v>753</v>
      </c>
    </row>
    <row r="459" spans="1:20" ht="14.4">
      <c r="A459" s="3">
        <v>82</v>
      </c>
      <c r="B459" s="4" t="s">
        <v>745</v>
      </c>
      <c r="C459" s="4" t="s">
        <v>611</v>
      </c>
      <c r="D459" s="4" t="s">
        <v>896</v>
      </c>
      <c r="E459" s="6">
        <f t="shared" si="110"/>
        <v>0</v>
      </c>
      <c r="F459" s="6"/>
      <c r="G459" s="7">
        <f t="shared" si="91"/>
        <v>0</v>
      </c>
      <c r="H459" s="6">
        <v>0</v>
      </c>
      <c r="I459" s="7">
        <f t="shared" si="68"/>
        <v>0</v>
      </c>
      <c r="J459" s="6">
        <v>0</v>
      </c>
      <c r="K459" s="6" t="s">
        <v>23</v>
      </c>
      <c r="L459" s="8">
        <v>0</v>
      </c>
      <c r="M459" s="8">
        <f t="shared" si="102"/>
        <v>660</v>
      </c>
      <c r="N459" s="4" t="s">
        <v>24</v>
      </c>
      <c r="O459" s="6">
        <v>4</v>
      </c>
      <c r="P459" s="6">
        <v>200</v>
      </c>
      <c r="Q459" s="6">
        <v>7</v>
      </c>
      <c r="R459" s="4"/>
      <c r="S459" s="3">
        <v>1100</v>
      </c>
      <c r="T459" s="4" t="s">
        <v>766</v>
      </c>
    </row>
    <row r="460" spans="1:20" ht="14.4">
      <c r="A460" s="3">
        <v>83</v>
      </c>
      <c r="B460" s="4" t="s">
        <v>745</v>
      </c>
      <c r="C460" s="4" t="s">
        <v>611</v>
      </c>
      <c r="D460" s="4" t="s">
        <v>897</v>
      </c>
      <c r="E460" s="6">
        <v>13909</v>
      </c>
      <c r="F460" s="6">
        <v>14050</v>
      </c>
      <c r="G460" s="7">
        <f t="shared" si="91"/>
        <v>141</v>
      </c>
      <c r="H460" s="6">
        <v>14726</v>
      </c>
      <c r="I460" s="7">
        <f t="shared" si="68"/>
        <v>676</v>
      </c>
      <c r="J460" s="6">
        <v>0</v>
      </c>
      <c r="K460" s="6" t="s">
        <v>23</v>
      </c>
      <c r="L460" s="8">
        <f t="shared" ref="L460:L463" si="111">G460*Q460+P460+O460*115</f>
        <v>1647</v>
      </c>
      <c r="M460" s="8">
        <f t="shared" si="102"/>
        <v>5392</v>
      </c>
      <c r="N460" s="4" t="s">
        <v>24</v>
      </c>
      <c r="O460" s="6">
        <v>4</v>
      </c>
      <c r="P460" s="6">
        <v>200</v>
      </c>
      <c r="Q460" s="6">
        <v>7</v>
      </c>
      <c r="R460" s="4" t="s">
        <v>898</v>
      </c>
      <c r="S460" s="3">
        <v>850</v>
      </c>
      <c r="T460" s="4" t="s">
        <v>753</v>
      </c>
    </row>
    <row r="461" spans="1:20" ht="14.4">
      <c r="A461" s="3">
        <v>84</v>
      </c>
      <c r="B461" s="4" t="s">
        <v>745</v>
      </c>
      <c r="C461" s="4" t="s">
        <v>611</v>
      </c>
      <c r="D461" s="4" t="s">
        <v>899</v>
      </c>
      <c r="E461" s="6">
        <v>8066</v>
      </c>
      <c r="F461" s="6">
        <v>8351</v>
      </c>
      <c r="G461" s="7">
        <f t="shared" si="91"/>
        <v>285</v>
      </c>
      <c r="H461" s="6">
        <v>8559</v>
      </c>
      <c r="I461" s="7">
        <f t="shared" si="68"/>
        <v>208</v>
      </c>
      <c r="J461" s="6">
        <v>0</v>
      </c>
      <c r="K461" s="6" t="s">
        <v>23</v>
      </c>
      <c r="L461" s="8">
        <f t="shared" si="111"/>
        <v>2655</v>
      </c>
      <c r="M461" s="8">
        <f t="shared" si="102"/>
        <v>2116</v>
      </c>
      <c r="N461" s="4" t="s">
        <v>24</v>
      </c>
      <c r="O461" s="6">
        <v>4</v>
      </c>
      <c r="P461" s="6">
        <v>200</v>
      </c>
      <c r="Q461" s="6">
        <v>7</v>
      </c>
      <c r="R461" s="4" t="s">
        <v>900</v>
      </c>
      <c r="S461" s="3">
        <v>850</v>
      </c>
      <c r="T461" s="4" t="s">
        <v>753</v>
      </c>
    </row>
    <row r="462" spans="1:20" ht="14.4">
      <c r="A462" s="3">
        <v>85</v>
      </c>
      <c r="B462" s="4" t="s">
        <v>745</v>
      </c>
      <c r="C462" s="4" t="s">
        <v>611</v>
      </c>
      <c r="D462" s="4" t="s">
        <v>901</v>
      </c>
      <c r="E462" s="6">
        <v>2090</v>
      </c>
      <c r="F462" s="6">
        <v>2519</v>
      </c>
      <c r="G462" s="7">
        <f t="shared" si="91"/>
        <v>429</v>
      </c>
      <c r="H462" s="6">
        <v>2602</v>
      </c>
      <c r="I462" s="7">
        <f t="shared" si="68"/>
        <v>83</v>
      </c>
      <c r="J462" s="6">
        <v>0</v>
      </c>
      <c r="K462" s="6" t="s">
        <v>23</v>
      </c>
      <c r="L462" s="8">
        <f t="shared" si="111"/>
        <v>3663</v>
      </c>
      <c r="M462" s="8">
        <f t="shared" si="102"/>
        <v>1241</v>
      </c>
      <c r="N462" s="4" t="s">
        <v>24</v>
      </c>
      <c r="O462" s="6">
        <v>4</v>
      </c>
      <c r="P462" s="6">
        <v>200</v>
      </c>
      <c r="Q462" s="6">
        <v>7</v>
      </c>
      <c r="R462" s="4" t="s">
        <v>902</v>
      </c>
      <c r="S462" s="3">
        <v>850</v>
      </c>
      <c r="T462" s="4" t="s">
        <v>753</v>
      </c>
    </row>
    <row r="463" spans="1:20" ht="14.4">
      <c r="A463" s="3">
        <v>86</v>
      </c>
      <c r="B463" s="4" t="s">
        <v>745</v>
      </c>
      <c r="C463" s="4" t="s">
        <v>903</v>
      </c>
      <c r="D463" s="4" t="s">
        <v>904</v>
      </c>
      <c r="E463" s="6">
        <v>544</v>
      </c>
      <c r="F463" s="6">
        <v>545</v>
      </c>
      <c r="G463" s="7">
        <f t="shared" si="91"/>
        <v>1</v>
      </c>
      <c r="H463" s="6">
        <v>548</v>
      </c>
      <c r="I463" s="7">
        <f t="shared" si="68"/>
        <v>3</v>
      </c>
      <c r="J463" s="6">
        <v>0</v>
      </c>
      <c r="K463" s="6" t="s">
        <v>23</v>
      </c>
      <c r="L463" s="8">
        <f t="shared" si="111"/>
        <v>667</v>
      </c>
      <c r="M463" s="8">
        <f t="shared" si="102"/>
        <v>681</v>
      </c>
      <c r="N463" s="4" t="s">
        <v>24</v>
      </c>
      <c r="O463" s="6">
        <v>4</v>
      </c>
      <c r="P463" s="6">
        <v>200</v>
      </c>
      <c r="Q463" s="6">
        <v>7</v>
      </c>
      <c r="R463" s="4"/>
      <c r="S463" s="3">
        <v>455</v>
      </c>
      <c r="T463" s="4" t="s">
        <v>748</v>
      </c>
    </row>
    <row r="464" spans="1:20" ht="14.4">
      <c r="A464" s="3">
        <v>87</v>
      </c>
      <c r="B464" s="4" t="s">
        <v>745</v>
      </c>
      <c r="C464" s="4" t="s">
        <v>903</v>
      </c>
      <c r="D464" s="4" t="s">
        <v>905</v>
      </c>
      <c r="E464" s="6">
        <f>J464</f>
        <v>0</v>
      </c>
      <c r="F464" s="6"/>
      <c r="G464" s="7">
        <f t="shared" si="91"/>
        <v>0</v>
      </c>
      <c r="H464" s="6">
        <v>0</v>
      </c>
      <c r="I464" s="7">
        <f t="shared" si="68"/>
        <v>0</v>
      </c>
      <c r="J464" s="6">
        <v>0</v>
      </c>
      <c r="K464" s="6" t="s">
        <v>23</v>
      </c>
      <c r="L464" s="8">
        <v>0</v>
      </c>
      <c r="M464" s="8">
        <f t="shared" si="102"/>
        <v>660</v>
      </c>
      <c r="N464" s="4" t="s">
        <v>24</v>
      </c>
      <c r="O464" s="6">
        <v>4</v>
      </c>
      <c r="P464" s="6">
        <v>200</v>
      </c>
      <c r="Q464" s="6">
        <v>7</v>
      </c>
      <c r="R464" s="4"/>
      <c r="S464" s="3">
        <v>595</v>
      </c>
      <c r="T464" s="4" t="s">
        <v>750</v>
      </c>
    </row>
    <row r="465" spans="1:20" ht="14.4">
      <c r="A465" s="3">
        <v>88</v>
      </c>
      <c r="B465" s="4" t="s">
        <v>745</v>
      </c>
      <c r="C465" s="4" t="s">
        <v>903</v>
      </c>
      <c r="D465" s="4" t="s">
        <v>906</v>
      </c>
      <c r="E465" s="6">
        <v>2729</v>
      </c>
      <c r="F465" s="6">
        <v>3242</v>
      </c>
      <c r="G465" s="7">
        <f t="shared" si="91"/>
        <v>513</v>
      </c>
      <c r="H465" s="6">
        <v>3576</v>
      </c>
      <c r="I465" s="7">
        <f t="shared" si="68"/>
        <v>334</v>
      </c>
      <c r="J465" s="6">
        <v>0</v>
      </c>
      <c r="K465" s="6" t="s">
        <v>23</v>
      </c>
      <c r="L465" s="8">
        <f t="shared" ref="L465:L466" si="112">G465*Q465+P465+O465*115</f>
        <v>4251</v>
      </c>
      <c r="M465" s="8">
        <f t="shared" si="102"/>
        <v>2998</v>
      </c>
      <c r="N465" s="4" t="s">
        <v>24</v>
      </c>
      <c r="O465" s="6">
        <v>4</v>
      </c>
      <c r="P465" s="6">
        <v>200</v>
      </c>
      <c r="Q465" s="6">
        <v>7</v>
      </c>
      <c r="R465" s="4" t="s">
        <v>907</v>
      </c>
      <c r="S465" s="3">
        <v>850</v>
      </c>
      <c r="T465" s="4" t="s">
        <v>753</v>
      </c>
    </row>
    <row r="466" spans="1:20" ht="14.4">
      <c r="A466" s="3">
        <v>89</v>
      </c>
      <c r="B466" s="4" t="s">
        <v>745</v>
      </c>
      <c r="C466" s="4" t="s">
        <v>903</v>
      </c>
      <c r="D466" s="4" t="s">
        <v>908</v>
      </c>
      <c r="E466" s="6">
        <v>16878</v>
      </c>
      <c r="F466" s="6">
        <v>18091</v>
      </c>
      <c r="G466" s="7">
        <f t="shared" si="91"/>
        <v>1213</v>
      </c>
      <c r="H466" s="6">
        <v>18847</v>
      </c>
      <c r="I466" s="7">
        <f t="shared" si="68"/>
        <v>756</v>
      </c>
      <c r="J466" s="6">
        <v>0</v>
      </c>
      <c r="K466" s="6" t="s">
        <v>23</v>
      </c>
      <c r="L466" s="8">
        <f t="shared" si="112"/>
        <v>9151</v>
      </c>
      <c r="M466" s="8">
        <f t="shared" si="102"/>
        <v>5952</v>
      </c>
      <c r="N466" s="4" t="s">
        <v>24</v>
      </c>
      <c r="O466" s="6">
        <v>4</v>
      </c>
      <c r="P466" s="6">
        <v>200</v>
      </c>
      <c r="Q466" s="6">
        <v>7</v>
      </c>
      <c r="R466" s="4" t="s">
        <v>909</v>
      </c>
      <c r="S466" s="3">
        <v>850</v>
      </c>
      <c r="T466" s="4" t="s">
        <v>753</v>
      </c>
    </row>
    <row r="467" spans="1:20" ht="14.4">
      <c r="A467" s="3">
        <v>90</v>
      </c>
      <c r="B467" s="4" t="s">
        <v>745</v>
      </c>
      <c r="C467" s="4" t="s">
        <v>903</v>
      </c>
      <c r="D467" s="4" t="s">
        <v>910</v>
      </c>
      <c r="E467" s="6">
        <f>J467</f>
        <v>0</v>
      </c>
      <c r="F467" s="6"/>
      <c r="G467" s="7">
        <f t="shared" si="91"/>
        <v>0</v>
      </c>
      <c r="H467" s="6">
        <v>0</v>
      </c>
      <c r="I467" s="7">
        <f t="shared" si="68"/>
        <v>0</v>
      </c>
      <c r="J467" s="6">
        <v>0</v>
      </c>
      <c r="K467" s="6" t="s">
        <v>23</v>
      </c>
      <c r="L467" s="8">
        <v>0</v>
      </c>
      <c r="M467" s="8">
        <f t="shared" si="102"/>
        <v>660</v>
      </c>
      <c r="N467" s="4" t="s">
        <v>24</v>
      </c>
      <c r="O467" s="6">
        <v>4</v>
      </c>
      <c r="P467" s="6">
        <v>200</v>
      </c>
      <c r="Q467" s="6">
        <v>7</v>
      </c>
      <c r="R467" s="4"/>
      <c r="S467" s="3">
        <v>1100</v>
      </c>
      <c r="T467" s="4" t="s">
        <v>766</v>
      </c>
    </row>
    <row r="468" spans="1:20" ht="14.4">
      <c r="A468" s="3">
        <v>91</v>
      </c>
      <c r="B468" s="4" t="s">
        <v>745</v>
      </c>
      <c r="C468" s="4" t="s">
        <v>903</v>
      </c>
      <c r="D468" s="4" t="s">
        <v>911</v>
      </c>
      <c r="E468" s="6">
        <v>4580</v>
      </c>
      <c r="F468" s="6">
        <v>4820</v>
      </c>
      <c r="G468" s="7">
        <f t="shared" si="91"/>
        <v>240</v>
      </c>
      <c r="H468" s="6">
        <v>4954</v>
      </c>
      <c r="I468" s="7">
        <f t="shared" si="68"/>
        <v>134</v>
      </c>
      <c r="J468" s="6">
        <v>0</v>
      </c>
      <c r="K468" s="6" t="s">
        <v>23</v>
      </c>
      <c r="L468" s="8">
        <f>G468*Q468+P468+O468*115</f>
        <v>2340</v>
      </c>
      <c r="M468" s="8">
        <f t="shared" si="102"/>
        <v>1598</v>
      </c>
      <c r="N468" s="4" t="s">
        <v>24</v>
      </c>
      <c r="O468" s="6">
        <v>4</v>
      </c>
      <c r="P468" s="6">
        <v>200</v>
      </c>
      <c r="Q468" s="6">
        <v>7</v>
      </c>
      <c r="R468" s="4" t="s">
        <v>912</v>
      </c>
      <c r="S468" s="3">
        <v>850</v>
      </c>
      <c r="T468" s="4" t="s">
        <v>753</v>
      </c>
    </row>
    <row r="469" spans="1:20" ht="14.4">
      <c r="A469" s="3">
        <v>92</v>
      </c>
      <c r="B469" s="4" t="s">
        <v>745</v>
      </c>
      <c r="C469" s="4" t="s">
        <v>903</v>
      </c>
      <c r="D469" s="4" t="s">
        <v>913</v>
      </c>
      <c r="E469" s="6">
        <f>J469</f>
        <v>0</v>
      </c>
      <c r="F469" s="6"/>
      <c r="G469" s="7">
        <f t="shared" si="91"/>
        <v>0</v>
      </c>
      <c r="H469" s="6">
        <v>0</v>
      </c>
      <c r="I469" s="7">
        <f t="shared" si="68"/>
        <v>0</v>
      </c>
      <c r="J469" s="6">
        <v>0</v>
      </c>
      <c r="K469" s="6" t="s">
        <v>23</v>
      </c>
      <c r="L469" s="8">
        <v>0</v>
      </c>
      <c r="M469" s="8">
        <f t="shared" si="102"/>
        <v>660</v>
      </c>
      <c r="N469" s="4" t="s">
        <v>24</v>
      </c>
      <c r="O469" s="6">
        <v>4</v>
      </c>
      <c r="P469" s="6">
        <v>200</v>
      </c>
      <c r="Q469" s="6">
        <v>7</v>
      </c>
      <c r="R469" s="4"/>
      <c r="S469" s="3">
        <v>850</v>
      </c>
      <c r="T469" s="4" t="s">
        <v>753</v>
      </c>
    </row>
    <row r="470" spans="1:20" ht="14.4">
      <c r="A470" s="3">
        <v>93</v>
      </c>
      <c r="B470" s="4" t="s">
        <v>745</v>
      </c>
      <c r="C470" s="4" t="s">
        <v>903</v>
      </c>
      <c r="D470" s="4" t="s">
        <v>914</v>
      </c>
      <c r="E470" s="6">
        <v>2796</v>
      </c>
      <c r="F470" s="6">
        <v>2965</v>
      </c>
      <c r="G470" s="7">
        <f t="shared" si="91"/>
        <v>169</v>
      </c>
      <c r="H470" s="6">
        <v>3088</v>
      </c>
      <c r="I470" s="7">
        <f t="shared" si="68"/>
        <v>123</v>
      </c>
      <c r="J470" s="6">
        <v>0</v>
      </c>
      <c r="K470" s="6" t="s">
        <v>23</v>
      </c>
      <c r="L470" s="8">
        <f t="shared" ref="L470:L474" si="113">G470*Q470+P470+O470*115</f>
        <v>1843</v>
      </c>
      <c r="M470" s="8">
        <f t="shared" si="102"/>
        <v>1521</v>
      </c>
      <c r="N470" s="4" t="s">
        <v>24</v>
      </c>
      <c r="O470" s="6">
        <v>4</v>
      </c>
      <c r="P470" s="6">
        <v>200</v>
      </c>
      <c r="Q470" s="6">
        <v>7</v>
      </c>
      <c r="R470" s="4" t="s">
        <v>915</v>
      </c>
      <c r="S470" s="3">
        <v>850</v>
      </c>
      <c r="T470" s="4" t="s">
        <v>753</v>
      </c>
    </row>
    <row r="471" spans="1:20" ht="14.4">
      <c r="A471" s="3">
        <v>94</v>
      </c>
      <c r="B471" s="4" t="s">
        <v>745</v>
      </c>
      <c r="C471" s="4" t="s">
        <v>643</v>
      </c>
      <c r="D471" s="4" t="s">
        <v>916</v>
      </c>
      <c r="E471" s="6">
        <v>1464</v>
      </c>
      <c r="F471" s="6">
        <v>1616</v>
      </c>
      <c r="G471" s="7">
        <f t="shared" si="91"/>
        <v>152</v>
      </c>
      <c r="H471" s="6">
        <v>1616</v>
      </c>
      <c r="I471" s="7">
        <f t="shared" si="68"/>
        <v>0</v>
      </c>
      <c r="J471" s="6">
        <v>0</v>
      </c>
      <c r="K471" s="6" t="s">
        <v>23</v>
      </c>
      <c r="L471" s="8">
        <f t="shared" si="113"/>
        <v>1724</v>
      </c>
      <c r="M471" s="8">
        <f t="shared" si="102"/>
        <v>660</v>
      </c>
      <c r="N471" s="4" t="s">
        <v>24</v>
      </c>
      <c r="O471" s="6">
        <v>4</v>
      </c>
      <c r="P471" s="6">
        <v>200</v>
      </c>
      <c r="Q471" s="6">
        <v>7</v>
      </c>
      <c r="R471" s="4" t="s">
        <v>917</v>
      </c>
      <c r="S471" s="3">
        <v>455</v>
      </c>
      <c r="T471" s="4" t="s">
        <v>748</v>
      </c>
    </row>
    <row r="472" spans="1:20" ht="14.4">
      <c r="A472" s="3">
        <v>95</v>
      </c>
      <c r="B472" s="4" t="s">
        <v>745</v>
      </c>
      <c r="C472" s="4" t="s">
        <v>643</v>
      </c>
      <c r="D472" s="4" t="s">
        <v>918</v>
      </c>
      <c r="E472" s="6">
        <v>1447</v>
      </c>
      <c r="F472" s="6">
        <v>1973</v>
      </c>
      <c r="G472" s="7">
        <f t="shared" si="91"/>
        <v>526</v>
      </c>
      <c r="H472" s="6">
        <v>2229</v>
      </c>
      <c r="I472" s="7">
        <f t="shared" si="68"/>
        <v>256</v>
      </c>
      <c r="J472" s="6">
        <v>0</v>
      </c>
      <c r="K472" s="6" t="s">
        <v>23</v>
      </c>
      <c r="L472" s="8">
        <f t="shared" si="113"/>
        <v>4342</v>
      </c>
      <c r="M472" s="8">
        <f t="shared" si="102"/>
        <v>2452</v>
      </c>
      <c r="N472" s="4" t="s">
        <v>24</v>
      </c>
      <c r="O472" s="6">
        <v>4</v>
      </c>
      <c r="P472" s="6">
        <v>200</v>
      </c>
      <c r="Q472" s="6">
        <v>7</v>
      </c>
      <c r="R472" s="4"/>
      <c r="S472" s="3">
        <v>595</v>
      </c>
      <c r="T472" s="4" t="s">
        <v>750</v>
      </c>
    </row>
    <row r="473" spans="1:20" ht="14.4">
      <c r="A473" s="3">
        <v>96</v>
      </c>
      <c r="B473" s="4" t="s">
        <v>745</v>
      </c>
      <c r="C473" s="4" t="s">
        <v>643</v>
      </c>
      <c r="D473" s="4" t="s">
        <v>919</v>
      </c>
      <c r="E473" s="6">
        <v>2259</v>
      </c>
      <c r="F473" s="6">
        <v>2284</v>
      </c>
      <c r="G473" s="7">
        <f t="shared" si="91"/>
        <v>25</v>
      </c>
      <c r="H473" s="6">
        <v>2316</v>
      </c>
      <c r="I473" s="7">
        <f t="shared" si="68"/>
        <v>32</v>
      </c>
      <c r="J473" s="6">
        <v>0</v>
      </c>
      <c r="K473" s="6" t="s">
        <v>23</v>
      </c>
      <c r="L473" s="8">
        <f t="shared" si="113"/>
        <v>835</v>
      </c>
      <c r="M473" s="8">
        <f t="shared" si="102"/>
        <v>884</v>
      </c>
      <c r="N473" s="4" t="s">
        <v>24</v>
      </c>
      <c r="O473" s="6">
        <v>4</v>
      </c>
      <c r="P473" s="6">
        <v>200</v>
      </c>
      <c r="Q473" s="6">
        <v>7</v>
      </c>
      <c r="R473" s="4" t="s">
        <v>920</v>
      </c>
      <c r="S473" s="3">
        <v>850</v>
      </c>
      <c r="T473" s="4" t="s">
        <v>753</v>
      </c>
    </row>
    <row r="474" spans="1:20" ht="14.4">
      <c r="A474" s="3">
        <v>97</v>
      </c>
      <c r="B474" s="4" t="s">
        <v>745</v>
      </c>
      <c r="C474" s="4" t="s">
        <v>643</v>
      </c>
      <c r="D474" s="10" t="s">
        <v>921</v>
      </c>
      <c r="E474" s="6">
        <v>185</v>
      </c>
      <c r="F474" s="6">
        <v>193</v>
      </c>
      <c r="G474" s="7">
        <f t="shared" si="91"/>
        <v>8</v>
      </c>
      <c r="H474" s="6">
        <v>194</v>
      </c>
      <c r="I474" s="7">
        <f t="shared" si="68"/>
        <v>1</v>
      </c>
      <c r="J474" s="6">
        <v>0</v>
      </c>
      <c r="K474" s="6" t="s">
        <v>23</v>
      </c>
      <c r="L474" s="8">
        <f t="shared" si="113"/>
        <v>716</v>
      </c>
      <c r="M474" s="8">
        <f t="shared" si="102"/>
        <v>667</v>
      </c>
      <c r="N474" s="4" t="s">
        <v>24</v>
      </c>
      <c r="O474" s="6">
        <v>4</v>
      </c>
      <c r="P474" s="6">
        <v>200</v>
      </c>
      <c r="Q474" s="6">
        <v>7</v>
      </c>
      <c r="R474" s="4" t="s">
        <v>922</v>
      </c>
      <c r="S474" s="3">
        <v>850</v>
      </c>
      <c r="T474" s="4" t="s">
        <v>753</v>
      </c>
    </row>
    <row r="475" spans="1:20" ht="14.4">
      <c r="A475" s="3">
        <v>98</v>
      </c>
      <c r="B475" s="4" t="s">
        <v>745</v>
      </c>
      <c r="C475" s="4" t="s">
        <v>643</v>
      </c>
      <c r="D475" s="4" t="s">
        <v>923</v>
      </c>
      <c r="E475" s="6">
        <f>J475</f>
        <v>0</v>
      </c>
      <c r="F475" s="6">
        <v>0</v>
      </c>
      <c r="G475" s="7">
        <f t="shared" si="91"/>
        <v>0</v>
      </c>
      <c r="H475" s="6">
        <v>0</v>
      </c>
      <c r="I475" s="7">
        <f t="shared" si="68"/>
        <v>0</v>
      </c>
      <c r="J475" s="6">
        <v>0</v>
      </c>
      <c r="K475" s="6" t="s">
        <v>23</v>
      </c>
      <c r="L475" s="8">
        <v>0</v>
      </c>
      <c r="M475" s="8">
        <f t="shared" si="102"/>
        <v>660</v>
      </c>
      <c r="N475" s="4" t="s">
        <v>24</v>
      </c>
      <c r="O475" s="6">
        <v>4</v>
      </c>
      <c r="P475" s="6">
        <v>200</v>
      </c>
      <c r="Q475" s="6">
        <v>7</v>
      </c>
      <c r="R475" s="4"/>
      <c r="S475" s="3">
        <v>1100</v>
      </c>
      <c r="T475" s="4" t="s">
        <v>766</v>
      </c>
    </row>
    <row r="476" spans="1:20" ht="14.4">
      <c r="A476" s="3">
        <v>99</v>
      </c>
      <c r="B476" s="4" t="s">
        <v>745</v>
      </c>
      <c r="C476" s="4" t="s">
        <v>643</v>
      </c>
      <c r="D476" s="4" t="s">
        <v>924</v>
      </c>
      <c r="E476" s="6">
        <v>5907</v>
      </c>
      <c r="F476" s="6">
        <v>6367</v>
      </c>
      <c r="G476" s="7">
        <f t="shared" si="91"/>
        <v>460</v>
      </c>
      <c r="H476" s="6">
        <v>6393</v>
      </c>
      <c r="I476" s="7">
        <f t="shared" si="68"/>
        <v>26</v>
      </c>
      <c r="J476" s="6">
        <v>0</v>
      </c>
      <c r="K476" s="6" t="s">
        <v>23</v>
      </c>
      <c r="L476" s="8">
        <f t="shared" ref="L476:L477" si="114">G476*Q476+P476+O476*115</f>
        <v>3880</v>
      </c>
      <c r="M476" s="8">
        <f t="shared" si="102"/>
        <v>842</v>
      </c>
      <c r="N476" s="4" t="s">
        <v>24</v>
      </c>
      <c r="O476" s="6">
        <v>4</v>
      </c>
      <c r="P476" s="6">
        <v>200</v>
      </c>
      <c r="Q476" s="6">
        <v>7</v>
      </c>
      <c r="R476" s="4" t="s">
        <v>925</v>
      </c>
      <c r="S476" s="3">
        <v>850</v>
      </c>
      <c r="T476" s="4" t="s">
        <v>753</v>
      </c>
    </row>
    <row r="477" spans="1:20" ht="14.4">
      <c r="A477" s="3">
        <v>100</v>
      </c>
      <c r="B477" s="4" t="s">
        <v>745</v>
      </c>
      <c r="C477" s="4" t="s">
        <v>643</v>
      </c>
      <c r="D477" s="4" t="s">
        <v>926</v>
      </c>
      <c r="E477" s="6">
        <v>1126</v>
      </c>
      <c r="F477" s="6">
        <v>1558</v>
      </c>
      <c r="G477" s="7">
        <f t="shared" si="91"/>
        <v>432</v>
      </c>
      <c r="H477" s="6">
        <v>1891</v>
      </c>
      <c r="I477" s="7">
        <f t="shared" si="68"/>
        <v>333</v>
      </c>
      <c r="J477" s="6">
        <v>0</v>
      </c>
      <c r="K477" s="6" t="s">
        <v>23</v>
      </c>
      <c r="L477" s="8">
        <f t="shared" si="114"/>
        <v>3684</v>
      </c>
      <c r="M477" s="8">
        <f t="shared" si="102"/>
        <v>2991</v>
      </c>
      <c r="N477" s="4" t="s">
        <v>24</v>
      </c>
      <c r="O477" s="6">
        <v>4</v>
      </c>
      <c r="P477" s="6">
        <v>200</v>
      </c>
      <c r="Q477" s="6">
        <v>7</v>
      </c>
      <c r="R477" s="4" t="s">
        <v>927</v>
      </c>
      <c r="S477" s="3">
        <v>850</v>
      </c>
      <c r="T477" s="4" t="s">
        <v>753</v>
      </c>
    </row>
    <row r="478" spans="1:20" ht="14.4">
      <c r="A478" s="3">
        <v>101</v>
      </c>
      <c r="B478" s="4" t="s">
        <v>745</v>
      </c>
      <c r="C478" s="4" t="s">
        <v>643</v>
      </c>
      <c r="D478" s="4" t="s">
        <v>928</v>
      </c>
      <c r="E478" s="6">
        <f>J478</f>
        <v>0</v>
      </c>
      <c r="F478" s="6">
        <v>0</v>
      </c>
      <c r="G478" s="7">
        <f t="shared" si="91"/>
        <v>0</v>
      </c>
      <c r="H478" s="6">
        <v>0</v>
      </c>
      <c r="I478" s="7">
        <f t="shared" si="68"/>
        <v>0</v>
      </c>
      <c r="J478" s="6">
        <v>0</v>
      </c>
      <c r="K478" s="6" t="s">
        <v>23</v>
      </c>
      <c r="L478" s="8">
        <v>0</v>
      </c>
      <c r="M478" s="8">
        <f t="shared" si="102"/>
        <v>660</v>
      </c>
      <c r="N478" s="4" t="s">
        <v>24</v>
      </c>
      <c r="O478" s="6">
        <v>4</v>
      </c>
      <c r="P478" s="6">
        <v>200</v>
      </c>
      <c r="Q478" s="6">
        <v>7</v>
      </c>
      <c r="R478" s="4" t="s">
        <v>929</v>
      </c>
      <c r="S478" s="3">
        <v>850</v>
      </c>
      <c r="T478" s="4" t="s">
        <v>753</v>
      </c>
    </row>
    <row r="479" spans="1:20" ht="14.4">
      <c r="A479" s="3">
        <v>102</v>
      </c>
      <c r="B479" s="4" t="s">
        <v>745</v>
      </c>
      <c r="C479" s="4" t="s">
        <v>660</v>
      </c>
      <c r="D479" s="4" t="s">
        <v>930</v>
      </c>
      <c r="E479" s="6">
        <v>4235</v>
      </c>
      <c r="F479" s="6">
        <v>4258</v>
      </c>
      <c r="G479" s="7">
        <f t="shared" si="91"/>
        <v>23</v>
      </c>
      <c r="H479" s="6">
        <v>4307</v>
      </c>
      <c r="I479" s="7">
        <f t="shared" si="68"/>
        <v>49</v>
      </c>
      <c r="J479" s="6">
        <v>0</v>
      </c>
      <c r="K479" s="6" t="s">
        <v>23</v>
      </c>
      <c r="L479" s="8">
        <f t="shared" ref="L479:L480" si="115">G479*Q479+P479+O479*115</f>
        <v>821</v>
      </c>
      <c r="M479" s="8">
        <f t="shared" si="102"/>
        <v>1003</v>
      </c>
      <c r="N479" s="4" t="s">
        <v>24</v>
      </c>
      <c r="O479" s="6">
        <v>4</v>
      </c>
      <c r="P479" s="6">
        <v>200</v>
      </c>
      <c r="Q479" s="6">
        <v>7</v>
      </c>
      <c r="R479" s="4" t="s">
        <v>931</v>
      </c>
      <c r="S479" s="3">
        <v>455</v>
      </c>
      <c r="T479" s="4" t="s">
        <v>748</v>
      </c>
    </row>
    <row r="480" spans="1:20" ht="14.4">
      <c r="A480" s="3">
        <v>103</v>
      </c>
      <c r="B480" s="4" t="s">
        <v>745</v>
      </c>
      <c r="C480" s="4" t="s">
        <v>660</v>
      </c>
      <c r="D480" s="4" t="s">
        <v>932</v>
      </c>
      <c r="E480" s="6">
        <v>5697</v>
      </c>
      <c r="F480" s="6">
        <v>6173</v>
      </c>
      <c r="G480" s="7">
        <f t="shared" si="91"/>
        <v>476</v>
      </c>
      <c r="H480" s="6">
        <v>6465</v>
      </c>
      <c r="I480" s="7">
        <f t="shared" si="68"/>
        <v>292</v>
      </c>
      <c r="J480" s="6">
        <v>0</v>
      </c>
      <c r="K480" s="6" t="s">
        <v>23</v>
      </c>
      <c r="L480" s="8">
        <f t="shared" si="115"/>
        <v>3992</v>
      </c>
      <c r="M480" s="8">
        <f t="shared" si="102"/>
        <v>2704</v>
      </c>
      <c r="N480" s="4" t="s">
        <v>24</v>
      </c>
      <c r="O480" s="6">
        <v>4</v>
      </c>
      <c r="P480" s="6">
        <v>200</v>
      </c>
      <c r="Q480" s="6">
        <v>7</v>
      </c>
      <c r="R480" s="4" t="s">
        <v>933</v>
      </c>
      <c r="S480" s="3">
        <v>595</v>
      </c>
      <c r="T480" s="4" t="s">
        <v>750</v>
      </c>
    </row>
    <row r="481" spans="1:20" ht="14.4">
      <c r="A481" s="3">
        <v>104</v>
      </c>
      <c r="B481" s="4" t="s">
        <v>745</v>
      </c>
      <c r="C481" s="4" t="s">
        <v>660</v>
      </c>
      <c r="D481" s="4" t="s">
        <v>934</v>
      </c>
      <c r="E481" s="6">
        <f>J481</f>
        <v>0</v>
      </c>
      <c r="F481" s="6">
        <v>0</v>
      </c>
      <c r="G481" s="7">
        <f t="shared" si="91"/>
        <v>0</v>
      </c>
      <c r="H481" s="6">
        <v>0</v>
      </c>
      <c r="I481" s="7">
        <f t="shared" si="68"/>
        <v>0</v>
      </c>
      <c r="J481" s="6">
        <v>0</v>
      </c>
      <c r="K481" s="6" t="s">
        <v>23</v>
      </c>
      <c r="L481" s="8">
        <v>0</v>
      </c>
      <c r="M481" s="8">
        <f t="shared" si="102"/>
        <v>660</v>
      </c>
      <c r="N481" s="4" t="s">
        <v>24</v>
      </c>
      <c r="O481" s="6">
        <v>4</v>
      </c>
      <c r="P481" s="6">
        <v>200</v>
      </c>
      <c r="Q481" s="6">
        <v>7</v>
      </c>
      <c r="R481" s="4"/>
      <c r="S481" s="3">
        <v>850</v>
      </c>
      <c r="T481" s="4" t="s">
        <v>753</v>
      </c>
    </row>
    <row r="482" spans="1:20" ht="14.4">
      <c r="A482" s="3">
        <v>105</v>
      </c>
      <c r="B482" s="4" t="s">
        <v>745</v>
      </c>
      <c r="C482" s="4" t="s">
        <v>660</v>
      </c>
      <c r="D482" s="4" t="s">
        <v>935</v>
      </c>
      <c r="E482" s="6">
        <v>6554</v>
      </c>
      <c r="F482" s="6">
        <v>7031</v>
      </c>
      <c r="G482" s="7">
        <f t="shared" si="91"/>
        <v>477</v>
      </c>
      <c r="H482" s="6">
        <v>7396</v>
      </c>
      <c r="I482" s="7">
        <f t="shared" si="68"/>
        <v>365</v>
      </c>
      <c r="J482" s="6">
        <v>0</v>
      </c>
      <c r="K482" s="6" t="s">
        <v>23</v>
      </c>
      <c r="L482" s="8">
        <f>G482*Q482+P482+O482*115</f>
        <v>3999</v>
      </c>
      <c r="M482" s="8">
        <f t="shared" si="102"/>
        <v>3215</v>
      </c>
      <c r="N482" s="4" t="s">
        <v>24</v>
      </c>
      <c r="O482" s="6">
        <v>4</v>
      </c>
      <c r="P482" s="6">
        <v>200</v>
      </c>
      <c r="Q482" s="6">
        <v>7</v>
      </c>
      <c r="R482" s="4" t="s">
        <v>354</v>
      </c>
      <c r="S482" s="3">
        <v>850</v>
      </c>
      <c r="T482" s="4" t="s">
        <v>753</v>
      </c>
    </row>
    <row r="483" spans="1:20" ht="14.4">
      <c r="A483" s="3">
        <v>106</v>
      </c>
      <c r="B483" s="4" t="s">
        <v>745</v>
      </c>
      <c r="C483" s="4" t="s">
        <v>660</v>
      </c>
      <c r="D483" s="4" t="s">
        <v>936</v>
      </c>
      <c r="E483" s="6">
        <f>J483</f>
        <v>0</v>
      </c>
      <c r="F483" s="6">
        <v>0</v>
      </c>
      <c r="G483" s="7">
        <f t="shared" si="91"/>
        <v>0</v>
      </c>
      <c r="H483" s="6">
        <v>0</v>
      </c>
      <c r="I483" s="7">
        <f t="shared" si="68"/>
        <v>0</v>
      </c>
      <c r="J483" s="6">
        <v>0</v>
      </c>
      <c r="K483" s="6" t="s">
        <v>23</v>
      </c>
      <c r="L483" s="8">
        <v>0</v>
      </c>
      <c r="M483" s="8">
        <f t="shared" si="102"/>
        <v>660</v>
      </c>
      <c r="N483" s="4" t="s">
        <v>24</v>
      </c>
      <c r="O483" s="6">
        <v>4</v>
      </c>
      <c r="P483" s="6">
        <v>200</v>
      </c>
      <c r="Q483" s="6">
        <v>7</v>
      </c>
      <c r="R483" s="4"/>
      <c r="S483" s="3">
        <v>1100</v>
      </c>
      <c r="T483" s="4" t="s">
        <v>766</v>
      </c>
    </row>
    <row r="484" spans="1:20" ht="14.4">
      <c r="A484" s="3">
        <v>107</v>
      </c>
      <c r="B484" s="4" t="s">
        <v>745</v>
      </c>
      <c r="C484" s="4" t="s">
        <v>660</v>
      </c>
      <c r="D484" s="4" t="s">
        <v>937</v>
      </c>
      <c r="E484" s="6">
        <v>1556</v>
      </c>
      <c r="F484" s="6">
        <v>1636</v>
      </c>
      <c r="G484" s="7">
        <f t="shared" si="91"/>
        <v>80</v>
      </c>
      <c r="H484" s="6">
        <v>1715</v>
      </c>
      <c r="I484" s="7">
        <f t="shared" si="68"/>
        <v>79</v>
      </c>
      <c r="J484" s="6">
        <v>0</v>
      </c>
      <c r="K484" s="6" t="s">
        <v>23</v>
      </c>
      <c r="L484" s="8">
        <f t="shared" ref="L484:L486" si="116">G484*Q484+P484+O484*115</f>
        <v>1220</v>
      </c>
      <c r="M484" s="8">
        <f t="shared" si="102"/>
        <v>1213</v>
      </c>
      <c r="N484" s="4" t="s">
        <v>24</v>
      </c>
      <c r="O484" s="6">
        <v>4</v>
      </c>
      <c r="P484" s="6">
        <v>200</v>
      </c>
      <c r="Q484" s="6">
        <v>7</v>
      </c>
      <c r="R484" s="4" t="s">
        <v>100</v>
      </c>
      <c r="S484" s="3">
        <v>850</v>
      </c>
      <c r="T484" s="4" t="s">
        <v>753</v>
      </c>
    </row>
    <row r="485" spans="1:20" ht="14.4">
      <c r="A485" s="3">
        <v>108</v>
      </c>
      <c r="B485" s="4" t="s">
        <v>745</v>
      </c>
      <c r="C485" s="4" t="s">
        <v>660</v>
      </c>
      <c r="D485" s="4" t="s">
        <v>938</v>
      </c>
      <c r="E485" s="6">
        <v>3257</v>
      </c>
      <c r="F485" s="6">
        <v>3649</v>
      </c>
      <c r="G485" s="7">
        <f t="shared" si="91"/>
        <v>392</v>
      </c>
      <c r="H485" s="6">
        <v>3894</v>
      </c>
      <c r="I485" s="7">
        <f t="shared" si="68"/>
        <v>245</v>
      </c>
      <c r="J485" s="6">
        <v>0</v>
      </c>
      <c r="K485" s="6" t="s">
        <v>23</v>
      </c>
      <c r="L485" s="8">
        <f t="shared" si="116"/>
        <v>3404</v>
      </c>
      <c r="M485" s="8">
        <f t="shared" si="102"/>
        <v>2375</v>
      </c>
      <c r="N485" s="4" t="s">
        <v>24</v>
      </c>
      <c r="O485" s="6">
        <v>4</v>
      </c>
      <c r="P485" s="6">
        <v>200</v>
      </c>
      <c r="Q485" s="6">
        <v>7</v>
      </c>
      <c r="R485" s="4"/>
      <c r="S485" s="3">
        <v>850</v>
      </c>
      <c r="T485" s="4" t="s">
        <v>753</v>
      </c>
    </row>
    <row r="486" spans="1:20" ht="14.4">
      <c r="A486" s="3">
        <v>109</v>
      </c>
      <c r="B486" s="4" t="s">
        <v>745</v>
      </c>
      <c r="C486" s="4" t="s">
        <v>660</v>
      </c>
      <c r="D486" s="4" t="s">
        <v>939</v>
      </c>
      <c r="E486" s="6">
        <v>1279</v>
      </c>
      <c r="F486" s="6">
        <v>1579</v>
      </c>
      <c r="G486" s="7">
        <f t="shared" si="91"/>
        <v>300</v>
      </c>
      <c r="H486" s="6">
        <v>1787</v>
      </c>
      <c r="I486" s="7">
        <f t="shared" si="68"/>
        <v>208</v>
      </c>
      <c r="J486" s="6">
        <v>0</v>
      </c>
      <c r="K486" s="6" t="s">
        <v>23</v>
      </c>
      <c r="L486" s="8">
        <f t="shared" si="116"/>
        <v>2760</v>
      </c>
      <c r="M486" s="8">
        <f t="shared" si="102"/>
        <v>2116</v>
      </c>
      <c r="N486" s="4" t="s">
        <v>24</v>
      </c>
      <c r="O486" s="6">
        <v>4</v>
      </c>
      <c r="P486" s="6">
        <v>200</v>
      </c>
      <c r="Q486" s="6">
        <v>7</v>
      </c>
      <c r="R486" s="4"/>
      <c r="S486" s="3">
        <v>850</v>
      </c>
      <c r="T486" s="4" t="s">
        <v>753</v>
      </c>
    </row>
    <row r="487" spans="1:20" ht="14.4">
      <c r="A487" s="11"/>
      <c r="B487" s="11"/>
      <c r="C487" s="11"/>
      <c r="D487" s="11"/>
      <c r="E487" s="11" t="s">
        <v>940</v>
      </c>
      <c r="F487" s="11"/>
      <c r="G487" s="12">
        <f>SUM(G2:G486)</f>
        <v>53743</v>
      </c>
      <c r="H487" s="11"/>
      <c r="I487" s="12">
        <f>SUM(I2:I486)</f>
        <v>143595</v>
      </c>
      <c r="J487" s="11"/>
      <c r="K487" s="11"/>
      <c r="L487" s="13">
        <f t="shared" ref="L487:M487" si="117">SUM(L2:L486)</f>
        <v>462001</v>
      </c>
      <c r="M487" s="13">
        <f t="shared" si="117"/>
        <v>1277085</v>
      </c>
      <c r="N487" s="11"/>
      <c r="O487" s="11"/>
      <c r="P487" s="11"/>
      <c r="Q487" s="11"/>
      <c r="R487" s="11"/>
      <c r="S487" s="11"/>
      <c r="T487" s="14"/>
    </row>
    <row r="488" spans="1:20">
      <c r="E488" s="15"/>
      <c r="F488" s="15"/>
      <c r="G488" s="15"/>
      <c r="H488" s="15"/>
      <c r="I488" s="15"/>
      <c r="J488" s="15"/>
      <c r="K488" s="15"/>
      <c r="L488" s="15"/>
      <c r="M488" s="15"/>
    </row>
    <row r="489" spans="1:20">
      <c r="E489" s="15"/>
      <c r="F489" s="15"/>
      <c r="G489" s="15"/>
      <c r="H489" s="15"/>
      <c r="I489" s="15"/>
      <c r="J489" s="15"/>
      <c r="K489" s="15"/>
      <c r="L489" s="15"/>
      <c r="M489" s="15"/>
    </row>
    <row r="490" spans="1:20">
      <c r="E490" s="15"/>
      <c r="F490" s="15"/>
      <c r="G490" s="15"/>
      <c r="H490" s="15"/>
      <c r="I490" s="15"/>
      <c r="J490" s="15"/>
      <c r="K490" s="16" t="s">
        <v>941</v>
      </c>
      <c r="L490" s="16">
        <f>L487+M487</f>
        <v>1739086</v>
      </c>
      <c r="M490" s="15"/>
    </row>
    <row r="491" spans="1:20">
      <c r="E491" s="15"/>
      <c r="F491" s="15"/>
      <c r="G491" s="15"/>
      <c r="H491" s="15"/>
      <c r="I491" s="15"/>
      <c r="J491" s="15"/>
      <c r="K491" s="15"/>
      <c r="L491" s="15"/>
      <c r="M491" s="15"/>
    </row>
    <row r="492" spans="1:20">
      <c r="E492" s="15"/>
      <c r="F492" s="15"/>
      <c r="G492" s="15"/>
      <c r="H492" s="15"/>
      <c r="I492" s="15"/>
      <c r="J492" s="15"/>
      <c r="K492" s="15"/>
      <c r="L492" s="15"/>
      <c r="M492" s="15"/>
    </row>
    <row r="493" spans="1:20">
      <c r="E493" s="15"/>
      <c r="F493" s="15"/>
      <c r="G493" s="15"/>
      <c r="H493" s="15"/>
      <c r="I493" s="15"/>
      <c r="J493" s="15"/>
      <c r="K493" s="15"/>
      <c r="L493" s="15"/>
      <c r="M493" s="15"/>
    </row>
    <row r="494" spans="1:20">
      <c r="E494" s="15"/>
      <c r="F494" s="15"/>
      <c r="G494" s="15"/>
      <c r="H494" s="15"/>
      <c r="I494" s="15"/>
      <c r="J494" s="15"/>
      <c r="K494" s="15"/>
      <c r="L494" s="15"/>
      <c r="M494" s="15"/>
    </row>
    <row r="495" spans="1:20">
      <c r="E495" s="15"/>
      <c r="F495" s="15"/>
      <c r="G495" s="15"/>
      <c r="H495" s="15"/>
      <c r="I495" s="15"/>
      <c r="J495" s="15"/>
      <c r="K495" s="15"/>
      <c r="L495" s="15"/>
      <c r="M495" s="15"/>
    </row>
    <row r="496" spans="1:20">
      <c r="E496" s="15"/>
      <c r="F496" s="15"/>
      <c r="G496" s="15"/>
      <c r="H496" s="15"/>
      <c r="I496" s="15"/>
      <c r="J496" s="15"/>
      <c r="K496" s="15"/>
      <c r="L496" s="15"/>
      <c r="M496" s="15"/>
    </row>
    <row r="497" spans="5:13">
      <c r="E497" s="15"/>
      <c r="F497" s="15"/>
      <c r="G497" s="15"/>
      <c r="H497" s="15"/>
      <c r="I497" s="15"/>
      <c r="J497" s="15"/>
      <c r="K497" s="15"/>
      <c r="L497" s="15"/>
      <c r="M497" s="15"/>
    </row>
    <row r="498" spans="5:13">
      <c r="E498" s="15"/>
      <c r="F498" s="15"/>
      <c r="G498" s="15"/>
      <c r="H498" s="15"/>
      <c r="I498" s="15"/>
      <c r="J498" s="15"/>
      <c r="K498" s="15"/>
      <c r="L498" s="15"/>
      <c r="M498" s="15"/>
    </row>
    <row r="499" spans="5:13">
      <c r="E499" s="15"/>
      <c r="F499" s="15"/>
      <c r="G499" s="15"/>
      <c r="H499" s="15"/>
      <c r="I499" s="15"/>
      <c r="J499" s="15"/>
      <c r="K499" s="15"/>
      <c r="L499" s="15"/>
      <c r="M499" s="15"/>
    </row>
    <row r="500" spans="5:13">
      <c r="E500" s="15"/>
      <c r="F500" s="15"/>
      <c r="G500" s="15"/>
      <c r="H500" s="15"/>
      <c r="I500" s="15"/>
      <c r="J500" s="15"/>
      <c r="K500" s="15"/>
      <c r="L500" s="15"/>
      <c r="M500" s="15"/>
    </row>
    <row r="501" spans="5:13">
      <c r="E501" s="15"/>
      <c r="F501" s="15"/>
      <c r="G501" s="15"/>
      <c r="H501" s="15"/>
      <c r="I501" s="15"/>
      <c r="J501" s="15"/>
      <c r="K501" s="15"/>
      <c r="L501" s="15"/>
      <c r="M501" s="15"/>
    </row>
    <row r="502" spans="5:13">
      <c r="E502" s="15"/>
      <c r="F502" s="15"/>
      <c r="G502" s="15"/>
      <c r="H502" s="15"/>
      <c r="I502" s="15"/>
      <c r="J502" s="15"/>
      <c r="K502" s="15"/>
      <c r="L502" s="15"/>
      <c r="M502" s="15"/>
    </row>
    <row r="503" spans="5:13">
      <c r="E503" s="15"/>
      <c r="F503" s="15"/>
      <c r="G503" s="15"/>
      <c r="H503" s="15"/>
      <c r="I503" s="15"/>
      <c r="J503" s="15"/>
      <c r="K503" s="15"/>
      <c r="L503" s="15"/>
      <c r="M503" s="15"/>
    </row>
    <row r="504" spans="5:13">
      <c r="E504" s="15"/>
      <c r="F504" s="15"/>
      <c r="G504" s="15"/>
      <c r="H504" s="15"/>
      <c r="I504" s="15"/>
      <c r="J504" s="15"/>
      <c r="K504" s="15"/>
      <c r="L504" s="15"/>
      <c r="M504" s="15"/>
    </row>
    <row r="505" spans="5:13">
      <c r="E505" s="15"/>
      <c r="F505" s="15"/>
      <c r="G505" s="15"/>
      <c r="H505" s="15"/>
      <c r="I505" s="15"/>
      <c r="J505" s="15"/>
      <c r="K505" s="15"/>
      <c r="L505" s="15"/>
      <c r="M505" s="15"/>
    </row>
    <row r="506" spans="5:13">
      <c r="E506" s="15"/>
      <c r="F506" s="15"/>
      <c r="G506" s="15"/>
      <c r="H506" s="15"/>
      <c r="I506" s="15"/>
      <c r="J506" s="15"/>
      <c r="K506" s="15"/>
      <c r="L506" s="15"/>
      <c r="M506" s="15"/>
    </row>
    <row r="507" spans="5:13">
      <c r="E507" s="15"/>
      <c r="F507" s="15"/>
      <c r="G507" s="15"/>
      <c r="H507" s="15"/>
      <c r="I507" s="15"/>
      <c r="J507" s="15"/>
      <c r="K507" s="15"/>
      <c r="L507" s="15"/>
      <c r="M507" s="15"/>
    </row>
    <row r="508" spans="5:13">
      <c r="E508" s="15"/>
      <c r="F508" s="15"/>
      <c r="G508" s="15"/>
      <c r="H508" s="15"/>
      <c r="I508" s="15"/>
      <c r="J508" s="15"/>
      <c r="K508" s="15"/>
      <c r="L508" s="15"/>
      <c r="M508" s="15"/>
    </row>
    <row r="509" spans="5:13">
      <c r="E509" s="15"/>
      <c r="F509" s="15"/>
      <c r="G509" s="15"/>
      <c r="H509" s="15"/>
      <c r="I509" s="15"/>
      <c r="J509" s="15"/>
      <c r="K509" s="15"/>
      <c r="L509" s="15"/>
      <c r="M509" s="15"/>
    </row>
    <row r="510" spans="5:13">
      <c r="E510" s="15"/>
      <c r="F510" s="15"/>
      <c r="G510" s="15"/>
      <c r="H510" s="15"/>
      <c r="I510" s="15"/>
      <c r="J510" s="15"/>
      <c r="K510" s="15"/>
      <c r="L510" s="15"/>
      <c r="M510" s="15"/>
    </row>
    <row r="511" spans="5:13">
      <c r="E511" s="15"/>
      <c r="F511" s="15"/>
      <c r="G511" s="15"/>
      <c r="H511" s="15"/>
      <c r="I511" s="15"/>
      <c r="J511" s="15"/>
      <c r="K511" s="15"/>
      <c r="L511" s="15"/>
      <c r="M511" s="15"/>
    </row>
    <row r="512" spans="5:13">
      <c r="E512" s="15"/>
      <c r="F512" s="15"/>
      <c r="G512" s="15"/>
      <c r="H512" s="15"/>
      <c r="I512" s="15"/>
      <c r="J512" s="15"/>
      <c r="K512" s="15"/>
      <c r="L512" s="15"/>
      <c r="M512" s="15"/>
    </row>
    <row r="513" spans="5:13">
      <c r="E513" s="15"/>
      <c r="F513" s="15"/>
      <c r="G513" s="15"/>
      <c r="H513" s="15"/>
      <c r="I513" s="15"/>
      <c r="J513" s="15"/>
      <c r="K513" s="15"/>
      <c r="L513" s="15"/>
      <c r="M513" s="15"/>
    </row>
    <row r="514" spans="5:13">
      <c r="E514" s="15"/>
      <c r="F514" s="15"/>
      <c r="G514" s="15"/>
      <c r="H514" s="15"/>
      <c r="I514" s="15"/>
      <c r="J514" s="15"/>
      <c r="K514" s="15"/>
      <c r="L514" s="15"/>
      <c r="M514" s="15"/>
    </row>
    <row r="515" spans="5:13">
      <c r="E515" s="15"/>
      <c r="F515" s="15"/>
      <c r="G515" s="15"/>
      <c r="H515" s="15"/>
      <c r="I515" s="15"/>
      <c r="J515" s="15"/>
      <c r="K515" s="15"/>
      <c r="L515" s="15"/>
      <c r="M515" s="15"/>
    </row>
    <row r="516" spans="5:13">
      <c r="E516" s="15"/>
      <c r="F516" s="15"/>
      <c r="G516" s="15"/>
      <c r="H516" s="15"/>
      <c r="I516" s="15"/>
      <c r="J516" s="15"/>
      <c r="K516" s="15"/>
      <c r="L516" s="15"/>
      <c r="M516" s="15"/>
    </row>
    <row r="517" spans="5:13">
      <c r="E517" s="15"/>
      <c r="F517" s="15"/>
      <c r="G517" s="15"/>
      <c r="H517" s="15"/>
      <c r="I517" s="15"/>
      <c r="J517" s="15"/>
      <c r="K517" s="15"/>
      <c r="L517" s="15"/>
      <c r="M517" s="15"/>
    </row>
    <row r="518" spans="5:13">
      <c r="E518" s="15"/>
      <c r="F518" s="15"/>
      <c r="G518" s="15"/>
      <c r="H518" s="15"/>
      <c r="I518" s="15"/>
      <c r="J518" s="15"/>
      <c r="K518" s="15"/>
      <c r="L518" s="15"/>
      <c r="M518" s="15"/>
    </row>
    <row r="519" spans="5:13">
      <c r="E519" s="15"/>
      <c r="F519" s="15"/>
      <c r="G519" s="15"/>
      <c r="H519" s="15"/>
      <c r="I519" s="15"/>
      <c r="J519" s="15"/>
      <c r="K519" s="15"/>
      <c r="L519" s="15"/>
      <c r="M519" s="15"/>
    </row>
    <row r="520" spans="5:13">
      <c r="E520" s="15"/>
      <c r="F520" s="15"/>
      <c r="G520" s="15"/>
      <c r="H520" s="15"/>
      <c r="I520" s="15"/>
      <c r="J520" s="15"/>
      <c r="K520" s="15"/>
      <c r="L520" s="15"/>
      <c r="M520" s="15"/>
    </row>
    <row r="521" spans="5:13">
      <c r="E521" s="15"/>
      <c r="F521" s="15"/>
      <c r="G521" s="15"/>
      <c r="H521" s="15"/>
      <c r="I521" s="15"/>
      <c r="J521" s="15"/>
      <c r="K521" s="15"/>
      <c r="L521" s="15"/>
      <c r="M521" s="15"/>
    </row>
    <row r="522" spans="5:13">
      <c r="E522" s="15"/>
      <c r="F522" s="15"/>
      <c r="G522" s="15"/>
      <c r="H522" s="15"/>
      <c r="I522" s="15"/>
      <c r="J522" s="15"/>
      <c r="K522" s="15"/>
      <c r="L522" s="15"/>
      <c r="M522" s="15"/>
    </row>
    <row r="523" spans="5:13">
      <c r="E523" s="15"/>
      <c r="F523" s="15"/>
      <c r="G523" s="15"/>
      <c r="H523" s="15"/>
      <c r="I523" s="15"/>
      <c r="J523" s="15"/>
      <c r="K523" s="15"/>
      <c r="L523" s="15"/>
      <c r="M523" s="15"/>
    </row>
    <row r="524" spans="5:13">
      <c r="E524" s="15"/>
      <c r="F524" s="15"/>
      <c r="G524" s="15"/>
      <c r="H524" s="15"/>
      <c r="I524" s="15"/>
      <c r="J524" s="15"/>
      <c r="K524" s="15"/>
      <c r="L524" s="15"/>
      <c r="M524" s="15"/>
    </row>
    <row r="525" spans="5:13">
      <c r="E525" s="15"/>
      <c r="F525" s="15"/>
      <c r="G525" s="15"/>
      <c r="H525" s="15"/>
      <c r="I525" s="15"/>
      <c r="J525" s="15"/>
      <c r="K525" s="15"/>
      <c r="L525" s="15"/>
      <c r="M525" s="15"/>
    </row>
    <row r="526" spans="5:13">
      <c r="E526" s="15"/>
      <c r="F526" s="15"/>
      <c r="G526" s="15"/>
      <c r="H526" s="15"/>
      <c r="I526" s="15"/>
      <c r="J526" s="15"/>
      <c r="K526" s="15"/>
      <c r="L526" s="15"/>
      <c r="M526" s="15"/>
    </row>
    <row r="527" spans="5:13">
      <c r="E527" s="15"/>
      <c r="F527" s="15"/>
      <c r="G527" s="15"/>
      <c r="H527" s="15"/>
      <c r="I527" s="15"/>
      <c r="J527" s="15"/>
      <c r="K527" s="15"/>
      <c r="L527" s="15"/>
      <c r="M527" s="15"/>
    </row>
    <row r="528" spans="5:13">
      <c r="E528" s="15"/>
      <c r="F528" s="15"/>
      <c r="G528" s="15"/>
      <c r="H528" s="15"/>
      <c r="I528" s="15"/>
      <c r="J528" s="15"/>
      <c r="K528" s="15"/>
      <c r="L528" s="15"/>
      <c r="M528" s="15"/>
    </row>
    <row r="529" spans="5:13">
      <c r="E529" s="15"/>
      <c r="F529" s="15"/>
      <c r="G529" s="15"/>
      <c r="H529" s="15"/>
      <c r="I529" s="15"/>
      <c r="J529" s="15"/>
      <c r="K529" s="15"/>
      <c r="L529" s="15"/>
      <c r="M529" s="15"/>
    </row>
    <row r="530" spans="5:13">
      <c r="E530" s="15"/>
      <c r="F530" s="15"/>
      <c r="G530" s="15"/>
      <c r="H530" s="15"/>
      <c r="I530" s="15"/>
      <c r="J530" s="15"/>
      <c r="K530" s="15"/>
      <c r="L530" s="15"/>
      <c r="M530" s="15"/>
    </row>
    <row r="531" spans="5:13">
      <c r="E531" s="15"/>
      <c r="F531" s="15"/>
      <c r="G531" s="15"/>
      <c r="H531" s="15"/>
      <c r="I531" s="15"/>
      <c r="J531" s="15"/>
      <c r="K531" s="15"/>
      <c r="L531" s="15"/>
      <c r="M531" s="15"/>
    </row>
    <row r="532" spans="5:13">
      <c r="E532" s="15"/>
      <c r="F532" s="15"/>
      <c r="G532" s="15"/>
      <c r="H532" s="15"/>
      <c r="I532" s="15"/>
      <c r="J532" s="15"/>
      <c r="K532" s="15"/>
      <c r="L532" s="15"/>
      <c r="M532" s="15"/>
    </row>
    <row r="533" spans="5:13">
      <c r="E533" s="15"/>
      <c r="F533" s="15"/>
      <c r="G533" s="15"/>
      <c r="H533" s="15"/>
      <c r="I533" s="15"/>
      <c r="J533" s="15"/>
      <c r="K533" s="15"/>
      <c r="L533" s="15"/>
      <c r="M533" s="15"/>
    </row>
    <row r="534" spans="5:13">
      <c r="E534" s="15"/>
      <c r="F534" s="15"/>
      <c r="G534" s="15"/>
      <c r="H534" s="15"/>
      <c r="I534" s="15"/>
      <c r="J534" s="15"/>
      <c r="K534" s="15"/>
      <c r="L534" s="15"/>
      <c r="M534" s="15"/>
    </row>
    <row r="535" spans="5:13">
      <c r="E535" s="15"/>
      <c r="F535" s="15"/>
      <c r="G535" s="15"/>
      <c r="H535" s="15"/>
      <c r="I535" s="15"/>
      <c r="J535" s="15"/>
      <c r="K535" s="15"/>
      <c r="L535" s="15"/>
      <c r="M535" s="15"/>
    </row>
    <row r="536" spans="5:13">
      <c r="E536" s="15"/>
      <c r="F536" s="15"/>
      <c r="G536" s="15"/>
      <c r="H536" s="15"/>
      <c r="I536" s="15"/>
      <c r="J536" s="15"/>
      <c r="K536" s="15"/>
      <c r="L536" s="15"/>
      <c r="M536" s="15"/>
    </row>
    <row r="537" spans="5:13">
      <c r="E537" s="15"/>
      <c r="F537" s="15"/>
      <c r="G537" s="15"/>
      <c r="H537" s="15"/>
      <c r="I537" s="15"/>
      <c r="J537" s="15"/>
      <c r="K537" s="15"/>
      <c r="L537" s="15"/>
      <c r="M537" s="15"/>
    </row>
    <row r="538" spans="5:13">
      <c r="E538" s="15"/>
      <c r="F538" s="15"/>
      <c r="G538" s="15"/>
      <c r="H538" s="15"/>
      <c r="I538" s="15"/>
      <c r="J538" s="15"/>
      <c r="K538" s="15"/>
      <c r="L538" s="15"/>
      <c r="M538" s="15"/>
    </row>
    <row r="539" spans="5:13">
      <c r="E539" s="15"/>
      <c r="F539" s="15"/>
      <c r="G539" s="15"/>
      <c r="H539" s="15"/>
      <c r="I539" s="15"/>
      <c r="J539" s="15"/>
      <c r="K539" s="15"/>
      <c r="L539" s="15"/>
      <c r="M539" s="15"/>
    </row>
    <row r="540" spans="5:13">
      <c r="E540" s="15"/>
      <c r="F540" s="15"/>
      <c r="G540" s="15"/>
      <c r="H540" s="15"/>
      <c r="I540" s="15"/>
      <c r="J540" s="15"/>
      <c r="K540" s="15"/>
      <c r="L540" s="15"/>
      <c r="M540" s="15"/>
    </row>
    <row r="541" spans="5:13">
      <c r="E541" s="15"/>
      <c r="F541" s="15"/>
      <c r="G541" s="15"/>
      <c r="H541" s="15"/>
      <c r="I541" s="15"/>
      <c r="J541" s="15"/>
      <c r="K541" s="15"/>
      <c r="L541" s="15"/>
      <c r="M541" s="15"/>
    </row>
    <row r="542" spans="5:13">
      <c r="E542" s="15"/>
      <c r="F542" s="15"/>
      <c r="G542" s="15"/>
      <c r="H542" s="15"/>
      <c r="I542" s="15"/>
      <c r="J542" s="15"/>
      <c r="K542" s="15"/>
      <c r="L542" s="15"/>
      <c r="M542" s="15"/>
    </row>
    <row r="543" spans="5:13">
      <c r="E543" s="15"/>
      <c r="F543" s="15"/>
      <c r="G543" s="15"/>
      <c r="H543" s="15"/>
      <c r="I543" s="15"/>
      <c r="J543" s="15"/>
      <c r="K543" s="15"/>
      <c r="L543" s="15"/>
      <c r="M543" s="15"/>
    </row>
    <row r="544" spans="5:13">
      <c r="E544" s="15"/>
      <c r="F544" s="15"/>
      <c r="G544" s="15"/>
      <c r="H544" s="15"/>
      <c r="I544" s="15"/>
      <c r="J544" s="15"/>
      <c r="K544" s="15"/>
      <c r="L544" s="15"/>
      <c r="M544" s="15"/>
    </row>
    <row r="545" spans="5:13">
      <c r="E545" s="15"/>
      <c r="F545" s="15"/>
      <c r="G545" s="15"/>
      <c r="H545" s="15"/>
      <c r="I545" s="15"/>
      <c r="J545" s="15"/>
      <c r="K545" s="15"/>
      <c r="L545" s="15"/>
      <c r="M545" s="15"/>
    </row>
    <row r="546" spans="5:13">
      <c r="E546" s="15"/>
      <c r="F546" s="15"/>
      <c r="G546" s="15"/>
      <c r="H546" s="15"/>
      <c r="I546" s="15"/>
      <c r="J546" s="15"/>
      <c r="K546" s="15"/>
      <c r="L546" s="15"/>
      <c r="M546" s="15"/>
    </row>
    <row r="547" spans="5:13">
      <c r="E547" s="15"/>
      <c r="F547" s="15"/>
      <c r="G547" s="15"/>
      <c r="H547" s="15"/>
      <c r="I547" s="15"/>
      <c r="J547" s="15"/>
      <c r="K547" s="15"/>
      <c r="L547" s="15"/>
      <c r="M547" s="15"/>
    </row>
    <row r="548" spans="5:13">
      <c r="E548" s="15"/>
      <c r="F548" s="15"/>
      <c r="G548" s="15"/>
      <c r="H548" s="15"/>
      <c r="I548" s="15"/>
      <c r="J548" s="15"/>
      <c r="K548" s="15"/>
      <c r="L548" s="15"/>
      <c r="M548" s="15"/>
    </row>
    <row r="549" spans="5:13">
      <c r="E549" s="15"/>
      <c r="F549" s="15"/>
      <c r="G549" s="15"/>
      <c r="H549" s="15"/>
      <c r="I549" s="15"/>
      <c r="J549" s="15"/>
      <c r="K549" s="15"/>
      <c r="L549" s="15"/>
      <c r="M549" s="15"/>
    </row>
    <row r="550" spans="5:13">
      <c r="E550" s="15"/>
      <c r="F550" s="15"/>
      <c r="G550" s="15"/>
      <c r="H550" s="15"/>
      <c r="I550" s="15"/>
      <c r="J550" s="15"/>
      <c r="K550" s="15"/>
      <c r="L550" s="15"/>
      <c r="M550" s="15"/>
    </row>
    <row r="551" spans="5:13">
      <c r="E551" s="15"/>
      <c r="F551" s="15"/>
      <c r="G551" s="15"/>
      <c r="H551" s="15"/>
      <c r="I551" s="15"/>
      <c r="J551" s="15"/>
      <c r="K551" s="15"/>
      <c r="L551" s="15"/>
      <c r="M551" s="15"/>
    </row>
    <row r="552" spans="5:13">
      <c r="E552" s="15"/>
      <c r="F552" s="15"/>
      <c r="G552" s="15"/>
      <c r="H552" s="15"/>
      <c r="I552" s="15"/>
      <c r="J552" s="15"/>
      <c r="K552" s="15"/>
      <c r="L552" s="15"/>
      <c r="M552" s="15"/>
    </row>
    <row r="553" spans="5:13">
      <c r="E553" s="15"/>
      <c r="F553" s="15"/>
      <c r="G553" s="15"/>
      <c r="H553" s="15"/>
      <c r="I553" s="15"/>
      <c r="J553" s="15"/>
      <c r="K553" s="15"/>
      <c r="L553" s="15"/>
      <c r="M553" s="15"/>
    </row>
    <row r="554" spans="5:13">
      <c r="E554" s="15"/>
      <c r="F554" s="15"/>
      <c r="G554" s="15"/>
      <c r="H554" s="15"/>
      <c r="I554" s="15"/>
      <c r="J554" s="15"/>
      <c r="K554" s="15"/>
      <c r="L554" s="15"/>
      <c r="M554" s="15"/>
    </row>
    <row r="555" spans="5:13">
      <c r="E555" s="15"/>
      <c r="F555" s="15"/>
      <c r="G555" s="15"/>
      <c r="H555" s="15"/>
      <c r="I555" s="15"/>
      <c r="J555" s="15"/>
      <c r="K555" s="15"/>
      <c r="L555" s="15"/>
      <c r="M555" s="15"/>
    </row>
    <row r="556" spans="5:13">
      <c r="E556" s="15"/>
      <c r="F556" s="15"/>
      <c r="G556" s="15"/>
      <c r="H556" s="15"/>
      <c r="I556" s="15"/>
      <c r="J556" s="15"/>
      <c r="K556" s="15"/>
      <c r="L556" s="15"/>
      <c r="M556" s="15"/>
    </row>
    <row r="557" spans="5:13">
      <c r="E557" s="15"/>
      <c r="F557" s="15"/>
      <c r="G557" s="15"/>
      <c r="H557" s="15"/>
      <c r="I557" s="15"/>
      <c r="J557" s="15"/>
      <c r="K557" s="15"/>
      <c r="L557" s="15"/>
      <c r="M557" s="15"/>
    </row>
    <row r="558" spans="5:13">
      <c r="E558" s="15"/>
      <c r="F558" s="15"/>
      <c r="G558" s="15"/>
      <c r="H558" s="15"/>
      <c r="I558" s="15"/>
      <c r="J558" s="15"/>
      <c r="K558" s="15"/>
      <c r="L558" s="15"/>
      <c r="M558" s="15"/>
    </row>
    <row r="559" spans="5:13">
      <c r="E559" s="15"/>
      <c r="F559" s="15"/>
      <c r="G559" s="15"/>
      <c r="H559" s="15"/>
      <c r="I559" s="15"/>
      <c r="J559" s="15"/>
      <c r="K559" s="15"/>
      <c r="L559" s="15"/>
      <c r="M559" s="15"/>
    </row>
    <row r="560" spans="5:13">
      <c r="E560" s="15"/>
      <c r="F560" s="15"/>
      <c r="G560" s="15"/>
      <c r="H560" s="15"/>
      <c r="I560" s="15"/>
      <c r="J560" s="15"/>
      <c r="K560" s="15"/>
      <c r="L560" s="15"/>
      <c r="M560" s="15"/>
    </row>
    <row r="561" spans="5:13">
      <c r="E561" s="15"/>
      <c r="F561" s="15"/>
      <c r="G561" s="15"/>
      <c r="H561" s="15"/>
      <c r="I561" s="15"/>
      <c r="J561" s="15"/>
      <c r="K561" s="15"/>
      <c r="L561" s="15"/>
      <c r="M561" s="15"/>
    </row>
    <row r="562" spans="5:13">
      <c r="E562" s="15"/>
      <c r="F562" s="15"/>
      <c r="G562" s="15"/>
      <c r="H562" s="15"/>
      <c r="I562" s="15"/>
      <c r="J562" s="15"/>
      <c r="K562" s="15"/>
      <c r="L562" s="15"/>
      <c r="M562" s="15"/>
    </row>
    <row r="563" spans="5:13">
      <c r="E563" s="15"/>
      <c r="F563" s="15"/>
      <c r="G563" s="15"/>
      <c r="H563" s="15"/>
      <c r="I563" s="15"/>
      <c r="J563" s="15"/>
      <c r="K563" s="15"/>
      <c r="L563" s="15"/>
      <c r="M563" s="15"/>
    </row>
    <row r="564" spans="5:13">
      <c r="E564" s="15"/>
      <c r="F564" s="15"/>
      <c r="G564" s="15"/>
      <c r="H564" s="15"/>
      <c r="I564" s="15"/>
      <c r="J564" s="15"/>
      <c r="K564" s="15"/>
      <c r="L564" s="15"/>
      <c r="M564" s="15"/>
    </row>
    <row r="565" spans="5:13">
      <c r="E565" s="15"/>
      <c r="F565" s="15"/>
      <c r="G565" s="15"/>
      <c r="H565" s="15"/>
      <c r="I565" s="15"/>
      <c r="J565" s="15"/>
      <c r="K565" s="15"/>
      <c r="L565" s="15"/>
      <c r="M565" s="15"/>
    </row>
    <row r="566" spans="5:13">
      <c r="E566" s="15"/>
      <c r="F566" s="15"/>
      <c r="G566" s="15"/>
      <c r="H566" s="15"/>
      <c r="I566" s="15"/>
      <c r="J566" s="15"/>
      <c r="K566" s="15"/>
      <c r="L566" s="15"/>
      <c r="M566" s="15"/>
    </row>
    <row r="567" spans="5:13">
      <c r="E567" s="15"/>
      <c r="F567" s="15"/>
      <c r="G567" s="15"/>
      <c r="H567" s="15"/>
      <c r="I567" s="15"/>
      <c r="J567" s="15"/>
      <c r="K567" s="15"/>
      <c r="L567" s="15"/>
      <c r="M567" s="15"/>
    </row>
    <row r="568" spans="5:13">
      <c r="E568" s="15"/>
      <c r="F568" s="15"/>
      <c r="G568" s="15"/>
      <c r="H568" s="15"/>
      <c r="I568" s="15"/>
      <c r="J568" s="15"/>
      <c r="K568" s="15"/>
      <c r="L568" s="15"/>
      <c r="M568" s="15"/>
    </row>
    <row r="569" spans="5:13">
      <c r="E569" s="15"/>
      <c r="F569" s="15"/>
      <c r="G569" s="15"/>
      <c r="H569" s="15"/>
      <c r="I569" s="15"/>
      <c r="J569" s="15"/>
      <c r="K569" s="15"/>
      <c r="L569" s="15"/>
      <c r="M569" s="15"/>
    </row>
    <row r="570" spans="5:13">
      <c r="E570" s="15"/>
      <c r="F570" s="15"/>
      <c r="G570" s="15"/>
      <c r="H570" s="15"/>
      <c r="I570" s="15"/>
      <c r="J570" s="15"/>
      <c r="K570" s="15"/>
      <c r="L570" s="15"/>
      <c r="M570" s="15"/>
    </row>
    <row r="571" spans="5:13">
      <c r="E571" s="15"/>
      <c r="F571" s="15"/>
      <c r="G571" s="15"/>
      <c r="H571" s="15"/>
      <c r="I571" s="15"/>
      <c r="J571" s="15"/>
      <c r="K571" s="15"/>
      <c r="L571" s="15"/>
      <c r="M571" s="15"/>
    </row>
    <row r="572" spans="5:13">
      <c r="E572" s="15"/>
      <c r="F572" s="15"/>
      <c r="G572" s="15"/>
      <c r="H572" s="15"/>
      <c r="I572" s="15"/>
      <c r="J572" s="15"/>
      <c r="K572" s="15"/>
      <c r="L572" s="15"/>
      <c r="M572" s="15"/>
    </row>
    <row r="573" spans="5:13">
      <c r="E573" s="15"/>
      <c r="F573" s="15"/>
      <c r="G573" s="15"/>
      <c r="H573" s="15"/>
      <c r="I573" s="15"/>
      <c r="J573" s="15"/>
      <c r="K573" s="15"/>
      <c r="L573" s="15"/>
      <c r="M573" s="15"/>
    </row>
    <row r="574" spans="5:13">
      <c r="E574" s="15"/>
      <c r="F574" s="15"/>
      <c r="G574" s="15"/>
      <c r="H574" s="15"/>
      <c r="I574" s="15"/>
      <c r="J574" s="15"/>
      <c r="K574" s="15"/>
      <c r="L574" s="15"/>
      <c r="M574" s="15"/>
    </row>
    <row r="575" spans="5:13">
      <c r="E575" s="15"/>
      <c r="F575" s="15"/>
      <c r="G575" s="15"/>
      <c r="H575" s="15"/>
      <c r="I575" s="15"/>
      <c r="J575" s="15"/>
      <c r="K575" s="15"/>
      <c r="L575" s="15"/>
      <c r="M575" s="15"/>
    </row>
    <row r="576" spans="5:13">
      <c r="E576" s="15"/>
      <c r="F576" s="15"/>
      <c r="G576" s="15"/>
      <c r="H576" s="15"/>
      <c r="I576" s="15"/>
      <c r="J576" s="15"/>
      <c r="K576" s="15"/>
      <c r="L576" s="15"/>
      <c r="M576" s="15"/>
    </row>
    <row r="577" spans="5:13">
      <c r="E577" s="15"/>
      <c r="F577" s="15"/>
      <c r="G577" s="15"/>
      <c r="H577" s="15"/>
      <c r="I577" s="15"/>
      <c r="J577" s="15"/>
      <c r="K577" s="15"/>
      <c r="L577" s="15"/>
      <c r="M577" s="15"/>
    </row>
    <row r="578" spans="5:13">
      <c r="E578" s="15"/>
      <c r="F578" s="15"/>
      <c r="G578" s="15"/>
      <c r="H578" s="15"/>
      <c r="I578" s="15"/>
      <c r="J578" s="15"/>
      <c r="K578" s="15"/>
      <c r="L578" s="15"/>
      <c r="M578" s="15"/>
    </row>
    <row r="579" spans="5:13">
      <c r="E579" s="15"/>
      <c r="F579" s="15"/>
      <c r="G579" s="15"/>
      <c r="H579" s="15"/>
      <c r="I579" s="15"/>
      <c r="J579" s="15"/>
      <c r="K579" s="15"/>
      <c r="L579" s="15"/>
      <c r="M579" s="15"/>
    </row>
    <row r="580" spans="5:13">
      <c r="E580" s="15"/>
      <c r="F580" s="15"/>
      <c r="G580" s="15"/>
      <c r="H580" s="15"/>
      <c r="I580" s="15"/>
      <c r="J580" s="15"/>
      <c r="K580" s="15"/>
      <c r="L580" s="15"/>
      <c r="M580" s="15"/>
    </row>
    <row r="581" spans="5:13">
      <c r="E581" s="15"/>
      <c r="F581" s="15"/>
      <c r="G581" s="15"/>
      <c r="H581" s="15"/>
      <c r="I581" s="15"/>
      <c r="J581" s="15"/>
      <c r="K581" s="15"/>
      <c r="L581" s="15"/>
      <c r="M581" s="15"/>
    </row>
    <row r="582" spans="5:13">
      <c r="E582" s="15"/>
      <c r="F582" s="15"/>
      <c r="G582" s="15"/>
      <c r="H582" s="15"/>
      <c r="I582" s="15"/>
      <c r="J582" s="15"/>
      <c r="K582" s="15"/>
      <c r="L582" s="15"/>
      <c r="M582" s="15"/>
    </row>
    <row r="583" spans="5:13">
      <c r="E583" s="15"/>
      <c r="F583" s="15"/>
      <c r="G583" s="15"/>
      <c r="H583" s="15"/>
      <c r="I583" s="15"/>
      <c r="J583" s="15"/>
      <c r="K583" s="15"/>
      <c r="L583" s="15"/>
      <c r="M583" s="15"/>
    </row>
    <row r="584" spans="5:13">
      <c r="E584" s="15"/>
      <c r="F584" s="15"/>
      <c r="G584" s="15"/>
      <c r="H584" s="15"/>
      <c r="I584" s="15"/>
      <c r="J584" s="15"/>
      <c r="K584" s="15"/>
      <c r="L584" s="15"/>
      <c r="M584" s="15"/>
    </row>
    <row r="585" spans="5:13">
      <c r="E585" s="15"/>
      <c r="F585" s="15"/>
      <c r="G585" s="15"/>
      <c r="H585" s="15"/>
      <c r="I585" s="15"/>
      <c r="J585" s="15"/>
      <c r="K585" s="15"/>
      <c r="L585" s="15"/>
      <c r="M585" s="15"/>
    </row>
    <row r="586" spans="5:13">
      <c r="E586" s="15"/>
      <c r="F586" s="15"/>
      <c r="G586" s="15"/>
      <c r="H586" s="15"/>
      <c r="I586" s="15"/>
      <c r="J586" s="15"/>
      <c r="K586" s="15"/>
      <c r="L586" s="15"/>
      <c r="M586" s="15"/>
    </row>
    <row r="587" spans="5:13">
      <c r="E587" s="15"/>
      <c r="F587" s="15"/>
      <c r="G587" s="15"/>
      <c r="H587" s="15"/>
      <c r="I587" s="15"/>
      <c r="J587" s="15"/>
      <c r="K587" s="15"/>
      <c r="L587" s="15"/>
      <c r="M587" s="15"/>
    </row>
    <row r="588" spans="5:13">
      <c r="E588" s="15"/>
      <c r="F588" s="15"/>
      <c r="G588" s="15"/>
      <c r="H588" s="15"/>
      <c r="I588" s="15"/>
      <c r="J588" s="15"/>
      <c r="K588" s="15"/>
      <c r="L588" s="15"/>
      <c r="M588" s="15"/>
    </row>
    <row r="589" spans="5:13">
      <c r="E589" s="15"/>
      <c r="F589" s="15"/>
      <c r="G589" s="15"/>
      <c r="H589" s="15"/>
      <c r="I589" s="15"/>
      <c r="J589" s="15"/>
      <c r="K589" s="15"/>
      <c r="L589" s="15"/>
      <c r="M589" s="15"/>
    </row>
    <row r="590" spans="5:13">
      <c r="E590" s="15"/>
      <c r="F590" s="15"/>
      <c r="G590" s="15"/>
      <c r="H590" s="15"/>
      <c r="I590" s="15"/>
      <c r="J590" s="15"/>
      <c r="K590" s="15"/>
      <c r="L590" s="15"/>
      <c r="M590" s="15"/>
    </row>
    <row r="591" spans="5:13">
      <c r="E591" s="15"/>
      <c r="F591" s="15"/>
      <c r="G591" s="15"/>
      <c r="H591" s="15"/>
      <c r="I591" s="15"/>
      <c r="J591" s="15"/>
      <c r="K591" s="15"/>
      <c r="L591" s="15"/>
      <c r="M591" s="15"/>
    </row>
    <row r="592" spans="5:13">
      <c r="E592" s="15"/>
      <c r="F592" s="15"/>
      <c r="G592" s="15"/>
      <c r="H592" s="15"/>
      <c r="I592" s="15"/>
      <c r="J592" s="15"/>
      <c r="K592" s="15"/>
      <c r="L592" s="15"/>
      <c r="M592" s="15"/>
    </row>
    <row r="593" spans="5:13">
      <c r="E593" s="15"/>
      <c r="F593" s="15"/>
      <c r="G593" s="15"/>
      <c r="H593" s="15"/>
      <c r="I593" s="15"/>
      <c r="J593" s="15"/>
      <c r="K593" s="15"/>
      <c r="L593" s="15"/>
      <c r="M593" s="15"/>
    </row>
    <row r="594" spans="5:13">
      <c r="E594" s="15"/>
      <c r="F594" s="15"/>
      <c r="G594" s="15"/>
      <c r="H594" s="15"/>
      <c r="I594" s="15"/>
      <c r="J594" s="15"/>
      <c r="K594" s="15"/>
      <c r="L594" s="15"/>
      <c r="M594" s="15"/>
    </row>
    <row r="595" spans="5:13">
      <c r="E595" s="15"/>
      <c r="F595" s="15"/>
      <c r="G595" s="15"/>
      <c r="H595" s="15"/>
      <c r="I595" s="15"/>
      <c r="J595" s="15"/>
      <c r="K595" s="15"/>
      <c r="L595" s="15"/>
      <c r="M595" s="15"/>
    </row>
    <row r="596" spans="5:13">
      <c r="E596" s="15"/>
      <c r="F596" s="15"/>
      <c r="G596" s="15"/>
      <c r="H596" s="15"/>
      <c r="I596" s="15"/>
      <c r="J596" s="15"/>
      <c r="K596" s="15"/>
      <c r="L596" s="15"/>
      <c r="M596" s="15"/>
    </row>
    <row r="597" spans="5:13">
      <c r="E597" s="15"/>
      <c r="F597" s="15"/>
      <c r="G597" s="15"/>
      <c r="H597" s="15"/>
      <c r="I597" s="15"/>
      <c r="J597" s="15"/>
      <c r="K597" s="15"/>
      <c r="L597" s="15"/>
      <c r="M597" s="15"/>
    </row>
    <row r="598" spans="5:13">
      <c r="E598" s="15"/>
      <c r="F598" s="15"/>
      <c r="G598" s="15"/>
      <c r="H598" s="15"/>
      <c r="I598" s="15"/>
      <c r="J598" s="15"/>
      <c r="K598" s="15"/>
      <c r="L598" s="15"/>
      <c r="M598" s="15"/>
    </row>
    <row r="599" spans="5:13">
      <c r="E599" s="15"/>
      <c r="F599" s="15"/>
      <c r="G599" s="15"/>
      <c r="H599" s="15"/>
      <c r="I599" s="15"/>
      <c r="J599" s="15"/>
      <c r="K599" s="15"/>
      <c r="L599" s="15"/>
      <c r="M599" s="15"/>
    </row>
    <row r="600" spans="5:13">
      <c r="E600" s="15"/>
      <c r="F600" s="15"/>
      <c r="G600" s="15"/>
      <c r="H600" s="15"/>
      <c r="I600" s="15"/>
      <c r="J600" s="15"/>
      <c r="K600" s="15"/>
      <c r="L600" s="15"/>
      <c r="M600" s="15"/>
    </row>
    <row r="601" spans="5:13">
      <c r="E601" s="15"/>
      <c r="F601" s="15"/>
      <c r="G601" s="15"/>
      <c r="H601" s="15"/>
      <c r="I601" s="15"/>
      <c r="J601" s="15"/>
      <c r="K601" s="15"/>
      <c r="L601" s="15"/>
      <c r="M601" s="15"/>
    </row>
    <row r="602" spans="5:13">
      <c r="E602" s="15"/>
      <c r="F602" s="15"/>
      <c r="G602" s="15"/>
      <c r="H602" s="15"/>
      <c r="I602" s="15"/>
      <c r="J602" s="15"/>
      <c r="K602" s="15"/>
      <c r="L602" s="15"/>
      <c r="M602" s="15"/>
    </row>
    <row r="603" spans="5:13">
      <c r="E603" s="15"/>
      <c r="F603" s="15"/>
      <c r="G603" s="15"/>
      <c r="H603" s="15"/>
      <c r="I603" s="15"/>
      <c r="J603" s="15"/>
      <c r="K603" s="15"/>
      <c r="L603" s="15"/>
      <c r="M603" s="15"/>
    </row>
    <row r="604" spans="5:13">
      <c r="E604" s="15"/>
      <c r="F604" s="15"/>
      <c r="G604" s="15"/>
      <c r="H604" s="15"/>
      <c r="I604" s="15"/>
      <c r="J604" s="15"/>
      <c r="K604" s="15"/>
      <c r="L604" s="15"/>
      <c r="M604" s="15"/>
    </row>
    <row r="605" spans="5:13">
      <c r="E605" s="15"/>
      <c r="F605" s="15"/>
      <c r="G605" s="15"/>
      <c r="H605" s="15"/>
      <c r="I605" s="15"/>
      <c r="J605" s="15"/>
      <c r="K605" s="15"/>
      <c r="L605" s="15"/>
      <c r="M605" s="15"/>
    </row>
    <row r="606" spans="5:13">
      <c r="E606" s="15"/>
      <c r="F606" s="15"/>
      <c r="G606" s="15"/>
      <c r="H606" s="15"/>
      <c r="I606" s="15"/>
      <c r="J606" s="15"/>
      <c r="K606" s="15"/>
      <c r="L606" s="15"/>
      <c r="M606" s="15"/>
    </row>
    <row r="607" spans="5:13">
      <c r="E607" s="15"/>
      <c r="F607" s="15"/>
      <c r="G607" s="15"/>
      <c r="H607" s="15"/>
      <c r="I607" s="15"/>
      <c r="J607" s="15"/>
      <c r="K607" s="15"/>
      <c r="L607" s="15"/>
      <c r="M607" s="15"/>
    </row>
    <row r="608" spans="5:13">
      <c r="E608" s="15"/>
      <c r="F608" s="15"/>
      <c r="G608" s="15"/>
      <c r="H608" s="15"/>
      <c r="I608" s="15"/>
      <c r="J608" s="15"/>
      <c r="K608" s="15"/>
      <c r="L608" s="15"/>
      <c r="M608" s="15"/>
    </row>
    <row r="609" spans="5:13">
      <c r="E609" s="15"/>
      <c r="F609" s="15"/>
      <c r="G609" s="15"/>
      <c r="H609" s="15"/>
      <c r="I609" s="15"/>
      <c r="J609" s="15"/>
      <c r="K609" s="15"/>
      <c r="L609" s="15"/>
      <c r="M609" s="15"/>
    </row>
    <row r="610" spans="5:13">
      <c r="E610" s="15"/>
      <c r="F610" s="15"/>
      <c r="G610" s="15"/>
      <c r="H610" s="15"/>
      <c r="I610" s="15"/>
      <c r="J610" s="15"/>
      <c r="K610" s="15"/>
      <c r="L610" s="15"/>
      <c r="M610" s="15"/>
    </row>
    <row r="611" spans="5:13">
      <c r="E611" s="15"/>
      <c r="F611" s="15"/>
      <c r="G611" s="15"/>
      <c r="H611" s="15"/>
      <c r="I611" s="15"/>
      <c r="J611" s="15"/>
      <c r="K611" s="15"/>
      <c r="L611" s="15"/>
      <c r="M611" s="15"/>
    </row>
    <row r="612" spans="5:13">
      <c r="E612" s="15"/>
      <c r="F612" s="15"/>
      <c r="G612" s="15"/>
      <c r="H612" s="15"/>
      <c r="I612" s="15"/>
      <c r="J612" s="15"/>
      <c r="K612" s="15"/>
      <c r="L612" s="15"/>
      <c r="M612" s="15"/>
    </row>
    <row r="613" spans="5:13">
      <c r="E613" s="15"/>
      <c r="F613" s="15"/>
      <c r="G613" s="15"/>
      <c r="H613" s="15"/>
      <c r="I613" s="15"/>
      <c r="J613" s="15"/>
      <c r="K613" s="15"/>
      <c r="L613" s="15"/>
      <c r="M613" s="15"/>
    </row>
    <row r="614" spans="5:13">
      <c r="E614" s="15"/>
      <c r="F614" s="15"/>
      <c r="G614" s="15"/>
      <c r="H614" s="15"/>
      <c r="I614" s="15"/>
      <c r="J614" s="15"/>
      <c r="K614" s="15"/>
      <c r="L614" s="15"/>
      <c r="M614" s="15"/>
    </row>
    <row r="615" spans="5:13">
      <c r="E615" s="15"/>
      <c r="F615" s="15"/>
      <c r="G615" s="15"/>
      <c r="H615" s="15"/>
      <c r="I615" s="15"/>
      <c r="J615" s="15"/>
      <c r="K615" s="15"/>
      <c r="L615" s="15"/>
      <c r="M615" s="15"/>
    </row>
    <row r="616" spans="5:13">
      <c r="E616" s="15"/>
      <c r="F616" s="15"/>
      <c r="G616" s="15"/>
      <c r="H616" s="15"/>
      <c r="I616" s="15"/>
      <c r="J616" s="15"/>
      <c r="K616" s="15"/>
      <c r="L616" s="15"/>
      <c r="M616" s="15"/>
    </row>
    <row r="617" spans="5:13">
      <c r="E617" s="15"/>
      <c r="F617" s="15"/>
      <c r="G617" s="15"/>
      <c r="H617" s="15"/>
      <c r="I617" s="15"/>
      <c r="J617" s="15"/>
      <c r="K617" s="15"/>
      <c r="L617" s="15"/>
      <c r="M617" s="15"/>
    </row>
    <row r="618" spans="5:13">
      <c r="E618" s="15"/>
      <c r="F618" s="15"/>
      <c r="G618" s="15"/>
      <c r="H618" s="15"/>
      <c r="I618" s="15"/>
      <c r="J618" s="15"/>
      <c r="K618" s="15"/>
      <c r="L618" s="15"/>
      <c r="M618" s="15"/>
    </row>
    <row r="619" spans="5:13">
      <c r="E619" s="15"/>
      <c r="F619" s="15"/>
      <c r="G619" s="15"/>
      <c r="H619" s="15"/>
      <c r="I619" s="15"/>
      <c r="J619" s="15"/>
      <c r="K619" s="15"/>
      <c r="L619" s="15"/>
      <c r="M619" s="15"/>
    </row>
    <row r="620" spans="5:13">
      <c r="E620" s="15"/>
      <c r="F620" s="15"/>
      <c r="G620" s="15"/>
      <c r="H620" s="15"/>
      <c r="I620" s="15"/>
      <c r="J620" s="15"/>
      <c r="K620" s="15"/>
      <c r="L620" s="15"/>
      <c r="M620" s="15"/>
    </row>
    <row r="621" spans="5:13">
      <c r="E621" s="15"/>
      <c r="F621" s="15"/>
      <c r="G621" s="15"/>
      <c r="H621" s="15"/>
      <c r="I621" s="15"/>
      <c r="J621" s="15"/>
      <c r="K621" s="15"/>
      <c r="L621" s="15"/>
      <c r="M621" s="15"/>
    </row>
    <row r="622" spans="5:13">
      <c r="E622" s="15"/>
      <c r="F622" s="15"/>
      <c r="G622" s="15"/>
      <c r="H622" s="15"/>
      <c r="I622" s="15"/>
      <c r="J622" s="15"/>
      <c r="K622" s="15"/>
      <c r="L622" s="15"/>
      <c r="M622" s="15"/>
    </row>
    <row r="623" spans="5:13">
      <c r="E623" s="15"/>
      <c r="F623" s="15"/>
      <c r="G623" s="15"/>
      <c r="H623" s="15"/>
      <c r="I623" s="15"/>
      <c r="J623" s="15"/>
      <c r="K623" s="15"/>
      <c r="L623" s="15"/>
      <c r="M623" s="15"/>
    </row>
    <row r="624" spans="5:13">
      <c r="E624" s="15"/>
      <c r="F624" s="15"/>
      <c r="G624" s="15"/>
      <c r="H624" s="15"/>
      <c r="I624" s="15"/>
      <c r="J624" s="15"/>
      <c r="K624" s="15"/>
      <c r="L624" s="15"/>
      <c r="M624" s="15"/>
    </row>
    <row r="625" spans="5:13">
      <c r="E625" s="15"/>
      <c r="F625" s="15"/>
      <c r="G625" s="15"/>
      <c r="H625" s="15"/>
      <c r="I625" s="15"/>
      <c r="J625" s="15"/>
      <c r="K625" s="15"/>
      <c r="L625" s="15"/>
      <c r="M625" s="15"/>
    </row>
    <row r="626" spans="5:13">
      <c r="E626" s="15"/>
      <c r="F626" s="15"/>
      <c r="G626" s="15"/>
      <c r="H626" s="15"/>
      <c r="I626" s="15"/>
      <c r="J626" s="15"/>
      <c r="K626" s="15"/>
      <c r="L626" s="15"/>
      <c r="M626" s="15"/>
    </row>
    <row r="627" spans="5:13">
      <c r="E627" s="15"/>
      <c r="F627" s="15"/>
      <c r="G627" s="15"/>
      <c r="H627" s="15"/>
      <c r="I627" s="15"/>
      <c r="J627" s="15"/>
      <c r="K627" s="15"/>
      <c r="L627" s="15"/>
      <c r="M627" s="15"/>
    </row>
    <row r="628" spans="5:13">
      <c r="E628" s="15"/>
      <c r="F628" s="15"/>
      <c r="G628" s="15"/>
      <c r="H628" s="15"/>
      <c r="I628" s="15"/>
      <c r="J628" s="15"/>
      <c r="K628" s="15"/>
      <c r="L628" s="15"/>
      <c r="M628" s="15"/>
    </row>
    <row r="629" spans="5:13">
      <c r="E629" s="15"/>
      <c r="F629" s="15"/>
      <c r="G629" s="15"/>
      <c r="H629" s="15"/>
      <c r="I629" s="15"/>
      <c r="J629" s="15"/>
      <c r="K629" s="15"/>
      <c r="L629" s="15"/>
      <c r="M629" s="15"/>
    </row>
    <row r="630" spans="5:13">
      <c r="E630" s="15"/>
      <c r="F630" s="15"/>
      <c r="G630" s="15"/>
      <c r="H630" s="15"/>
      <c r="I630" s="15"/>
      <c r="J630" s="15"/>
      <c r="K630" s="15"/>
      <c r="L630" s="15"/>
      <c r="M630" s="15"/>
    </row>
    <row r="631" spans="5:13">
      <c r="E631" s="15"/>
      <c r="F631" s="15"/>
      <c r="G631" s="15"/>
      <c r="H631" s="15"/>
      <c r="I631" s="15"/>
      <c r="J631" s="15"/>
      <c r="K631" s="15"/>
      <c r="L631" s="15"/>
      <c r="M631" s="15"/>
    </row>
    <row r="632" spans="5:13">
      <c r="E632" s="15"/>
      <c r="F632" s="15"/>
      <c r="G632" s="15"/>
      <c r="H632" s="15"/>
      <c r="I632" s="15"/>
      <c r="J632" s="15"/>
      <c r="K632" s="15"/>
      <c r="L632" s="15"/>
      <c r="M632" s="15"/>
    </row>
    <row r="633" spans="5:13">
      <c r="E633" s="15"/>
      <c r="F633" s="15"/>
      <c r="G633" s="15"/>
      <c r="H633" s="15"/>
      <c r="I633" s="15"/>
      <c r="J633" s="15"/>
      <c r="K633" s="15"/>
      <c r="L633" s="15"/>
      <c r="M633" s="15"/>
    </row>
    <row r="634" spans="5:13">
      <c r="E634" s="15"/>
      <c r="F634" s="15"/>
      <c r="G634" s="15"/>
      <c r="H634" s="15"/>
      <c r="I634" s="15"/>
      <c r="J634" s="15"/>
      <c r="K634" s="15"/>
      <c r="L634" s="15"/>
      <c r="M634" s="15"/>
    </row>
    <row r="635" spans="5:13">
      <c r="E635" s="15"/>
      <c r="F635" s="15"/>
      <c r="G635" s="15"/>
      <c r="H635" s="15"/>
      <c r="I635" s="15"/>
      <c r="J635" s="15"/>
      <c r="K635" s="15"/>
      <c r="L635" s="15"/>
      <c r="M635" s="15"/>
    </row>
    <row r="636" spans="5:13">
      <c r="E636" s="15"/>
      <c r="F636" s="15"/>
      <c r="G636" s="15"/>
      <c r="H636" s="15"/>
      <c r="I636" s="15"/>
      <c r="J636" s="15"/>
      <c r="K636" s="15"/>
      <c r="L636" s="15"/>
      <c r="M636" s="15"/>
    </row>
    <row r="637" spans="5:13">
      <c r="E637" s="15"/>
      <c r="F637" s="15"/>
      <c r="G637" s="15"/>
      <c r="H637" s="15"/>
      <c r="I637" s="15"/>
      <c r="J637" s="15"/>
      <c r="K637" s="15"/>
      <c r="L637" s="15"/>
      <c r="M637" s="15"/>
    </row>
    <row r="638" spans="5:13">
      <c r="E638" s="15"/>
      <c r="F638" s="15"/>
      <c r="G638" s="15"/>
      <c r="H638" s="15"/>
      <c r="I638" s="15"/>
      <c r="J638" s="15"/>
      <c r="K638" s="15"/>
      <c r="L638" s="15"/>
      <c r="M638" s="15"/>
    </row>
    <row r="639" spans="5:13">
      <c r="E639" s="15"/>
      <c r="F639" s="15"/>
      <c r="G639" s="15"/>
      <c r="H639" s="15"/>
      <c r="I639" s="15"/>
      <c r="J639" s="15"/>
      <c r="K639" s="15"/>
      <c r="L639" s="15"/>
      <c r="M639" s="15"/>
    </row>
    <row r="640" spans="5:13">
      <c r="E640" s="15"/>
      <c r="F640" s="15"/>
      <c r="G640" s="15"/>
      <c r="H640" s="15"/>
      <c r="I640" s="15"/>
      <c r="J640" s="15"/>
      <c r="K640" s="15"/>
      <c r="L640" s="15"/>
      <c r="M640" s="15"/>
    </row>
    <row r="641" spans="5:13">
      <c r="E641" s="15"/>
      <c r="F641" s="15"/>
      <c r="G641" s="15"/>
      <c r="H641" s="15"/>
      <c r="I641" s="15"/>
      <c r="J641" s="15"/>
      <c r="K641" s="15"/>
      <c r="L641" s="15"/>
      <c r="M641" s="15"/>
    </row>
    <row r="642" spans="5:13">
      <c r="E642" s="15"/>
      <c r="F642" s="15"/>
      <c r="G642" s="15"/>
      <c r="H642" s="15"/>
      <c r="I642" s="15"/>
      <c r="J642" s="15"/>
      <c r="K642" s="15"/>
      <c r="L642" s="15"/>
      <c r="M642" s="15"/>
    </row>
    <row r="643" spans="5:13">
      <c r="E643" s="15"/>
      <c r="F643" s="15"/>
      <c r="G643" s="15"/>
      <c r="H643" s="15"/>
      <c r="I643" s="15"/>
      <c r="J643" s="15"/>
      <c r="K643" s="15"/>
      <c r="L643" s="15"/>
      <c r="M643" s="15"/>
    </row>
    <row r="644" spans="5:13">
      <c r="E644" s="15"/>
      <c r="F644" s="15"/>
      <c r="G644" s="15"/>
      <c r="H644" s="15"/>
      <c r="I644" s="15"/>
      <c r="J644" s="15"/>
      <c r="K644" s="15"/>
      <c r="L644" s="15"/>
      <c r="M644" s="15"/>
    </row>
    <row r="645" spans="5:13">
      <c r="E645" s="15"/>
      <c r="F645" s="15"/>
      <c r="G645" s="15"/>
      <c r="H645" s="15"/>
      <c r="I645" s="15"/>
      <c r="J645" s="15"/>
      <c r="K645" s="15"/>
      <c r="L645" s="15"/>
      <c r="M645" s="15"/>
    </row>
    <row r="646" spans="5:13">
      <c r="E646" s="15"/>
      <c r="F646" s="15"/>
      <c r="G646" s="15"/>
      <c r="H646" s="15"/>
      <c r="I646" s="15"/>
      <c r="J646" s="15"/>
      <c r="K646" s="15"/>
      <c r="L646" s="15"/>
      <c r="M646" s="15"/>
    </row>
    <row r="647" spans="5:13">
      <c r="E647" s="15"/>
      <c r="F647" s="15"/>
      <c r="G647" s="15"/>
      <c r="H647" s="15"/>
      <c r="I647" s="15"/>
      <c r="J647" s="15"/>
      <c r="K647" s="15"/>
      <c r="L647" s="15"/>
      <c r="M647" s="15"/>
    </row>
    <row r="648" spans="5:13">
      <c r="E648" s="15"/>
      <c r="F648" s="15"/>
      <c r="G648" s="15"/>
      <c r="H648" s="15"/>
      <c r="I648" s="15"/>
      <c r="J648" s="15"/>
      <c r="K648" s="15"/>
      <c r="L648" s="15"/>
      <c r="M648" s="15"/>
    </row>
    <row r="649" spans="5:13">
      <c r="E649" s="15"/>
      <c r="F649" s="15"/>
      <c r="G649" s="15"/>
      <c r="H649" s="15"/>
      <c r="I649" s="15"/>
      <c r="J649" s="15"/>
      <c r="K649" s="15"/>
      <c r="L649" s="15"/>
      <c r="M649" s="15"/>
    </row>
    <row r="650" spans="5:13">
      <c r="E650" s="15"/>
      <c r="F650" s="15"/>
      <c r="G650" s="15"/>
      <c r="H650" s="15"/>
      <c r="I650" s="15"/>
      <c r="J650" s="15"/>
      <c r="K650" s="15"/>
      <c r="L650" s="15"/>
      <c r="M650" s="15"/>
    </row>
    <row r="651" spans="5:13">
      <c r="E651" s="15"/>
      <c r="F651" s="15"/>
      <c r="G651" s="15"/>
      <c r="H651" s="15"/>
      <c r="I651" s="15"/>
      <c r="J651" s="15"/>
      <c r="K651" s="15"/>
      <c r="L651" s="15"/>
      <c r="M651" s="15"/>
    </row>
    <row r="652" spans="5:13">
      <c r="E652" s="15"/>
      <c r="F652" s="15"/>
      <c r="G652" s="15"/>
      <c r="H652" s="15"/>
      <c r="I652" s="15"/>
      <c r="J652" s="15"/>
      <c r="K652" s="15"/>
      <c r="L652" s="15"/>
      <c r="M652" s="15"/>
    </row>
    <row r="653" spans="5:13">
      <c r="E653" s="15"/>
      <c r="F653" s="15"/>
      <c r="G653" s="15"/>
      <c r="H653" s="15"/>
      <c r="I653" s="15"/>
      <c r="J653" s="15"/>
      <c r="K653" s="15"/>
      <c r="L653" s="15"/>
      <c r="M653" s="15"/>
    </row>
    <row r="654" spans="5:13">
      <c r="E654" s="15"/>
      <c r="F654" s="15"/>
      <c r="G654" s="15"/>
      <c r="H654" s="15"/>
      <c r="I654" s="15"/>
      <c r="J654" s="15"/>
      <c r="K654" s="15"/>
      <c r="L654" s="15"/>
      <c r="M654" s="15"/>
    </row>
    <row r="655" spans="5:13">
      <c r="E655" s="15"/>
      <c r="F655" s="15"/>
      <c r="G655" s="15"/>
      <c r="H655" s="15"/>
      <c r="I655" s="15"/>
      <c r="J655" s="15"/>
      <c r="K655" s="15"/>
      <c r="L655" s="15"/>
      <c r="M655" s="15"/>
    </row>
    <row r="656" spans="5:13">
      <c r="E656" s="15"/>
      <c r="F656" s="15"/>
      <c r="G656" s="15"/>
      <c r="H656" s="15"/>
      <c r="I656" s="15"/>
      <c r="J656" s="15"/>
      <c r="K656" s="15"/>
      <c r="L656" s="15"/>
      <c r="M656" s="15"/>
    </row>
    <row r="657" spans="5:13">
      <c r="E657" s="15"/>
      <c r="F657" s="15"/>
      <c r="G657" s="15"/>
      <c r="H657" s="15"/>
      <c r="I657" s="15"/>
      <c r="J657" s="15"/>
      <c r="K657" s="15"/>
      <c r="L657" s="15"/>
      <c r="M657" s="15"/>
    </row>
    <row r="658" spans="5:13">
      <c r="E658" s="15"/>
      <c r="F658" s="15"/>
      <c r="G658" s="15"/>
      <c r="H658" s="15"/>
      <c r="I658" s="15"/>
      <c r="J658" s="15"/>
      <c r="K658" s="15"/>
      <c r="L658" s="15"/>
      <c r="M658" s="15"/>
    </row>
    <row r="659" spans="5:13">
      <c r="E659" s="15"/>
      <c r="F659" s="15"/>
      <c r="G659" s="15"/>
      <c r="H659" s="15"/>
      <c r="I659" s="15"/>
      <c r="J659" s="15"/>
      <c r="K659" s="15"/>
      <c r="L659" s="15"/>
      <c r="M659" s="15"/>
    </row>
    <row r="660" spans="5:13">
      <c r="E660" s="15"/>
      <c r="F660" s="15"/>
      <c r="G660" s="15"/>
      <c r="H660" s="15"/>
      <c r="I660" s="15"/>
      <c r="J660" s="15"/>
      <c r="K660" s="15"/>
      <c r="L660" s="15"/>
      <c r="M660" s="15"/>
    </row>
    <row r="661" spans="5:13">
      <c r="E661" s="15"/>
      <c r="F661" s="15"/>
      <c r="G661" s="15"/>
      <c r="H661" s="15"/>
      <c r="I661" s="15"/>
      <c r="J661" s="15"/>
      <c r="K661" s="15"/>
      <c r="L661" s="15"/>
      <c r="M661" s="15"/>
    </row>
    <row r="662" spans="5:13">
      <c r="E662" s="15"/>
      <c r="F662" s="15"/>
      <c r="G662" s="15"/>
      <c r="H662" s="15"/>
      <c r="I662" s="15"/>
      <c r="J662" s="15"/>
      <c r="K662" s="15"/>
      <c r="L662" s="15"/>
      <c r="M662" s="15"/>
    </row>
    <row r="663" spans="5:13">
      <c r="E663" s="15"/>
      <c r="F663" s="15"/>
      <c r="G663" s="15"/>
      <c r="H663" s="15"/>
      <c r="I663" s="15"/>
      <c r="J663" s="15"/>
      <c r="K663" s="15"/>
      <c r="L663" s="15"/>
      <c r="M663" s="15"/>
    </row>
    <row r="664" spans="5:13">
      <c r="E664" s="15"/>
      <c r="F664" s="15"/>
      <c r="G664" s="15"/>
      <c r="H664" s="15"/>
      <c r="I664" s="15"/>
      <c r="J664" s="15"/>
      <c r="K664" s="15"/>
      <c r="L664" s="15"/>
      <c r="M664" s="15"/>
    </row>
    <row r="665" spans="5:13">
      <c r="E665" s="15"/>
      <c r="F665" s="15"/>
      <c r="G665" s="15"/>
      <c r="H665" s="15"/>
      <c r="I665" s="15"/>
      <c r="J665" s="15"/>
      <c r="K665" s="15"/>
      <c r="L665" s="15"/>
      <c r="M665" s="15"/>
    </row>
    <row r="666" spans="5:13">
      <c r="E666" s="15"/>
      <c r="F666" s="15"/>
      <c r="G666" s="15"/>
      <c r="H666" s="15"/>
      <c r="I666" s="15"/>
      <c r="J666" s="15"/>
      <c r="K666" s="15"/>
      <c r="L666" s="15"/>
      <c r="M666" s="15"/>
    </row>
    <row r="667" spans="5:13">
      <c r="E667" s="15"/>
      <c r="F667" s="15"/>
      <c r="G667" s="15"/>
      <c r="H667" s="15"/>
      <c r="I667" s="15"/>
      <c r="J667" s="15"/>
      <c r="K667" s="15"/>
      <c r="L667" s="15"/>
      <c r="M667" s="15"/>
    </row>
    <row r="668" spans="5:13">
      <c r="E668" s="15"/>
      <c r="F668" s="15"/>
      <c r="G668" s="15"/>
      <c r="H668" s="15"/>
      <c r="I668" s="15"/>
      <c r="J668" s="15"/>
      <c r="K668" s="15"/>
      <c r="L668" s="15"/>
      <c r="M668" s="15"/>
    </row>
    <row r="669" spans="5:13">
      <c r="E669" s="15"/>
      <c r="F669" s="15"/>
      <c r="G669" s="15"/>
      <c r="H669" s="15"/>
      <c r="I669" s="15"/>
      <c r="J669" s="15"/>
      <c r="K669" s="15"/>
      <c r="L669" s="15"/>
      <c r="M669" s="15"/>
    </row>
    <row r="670" spans="5:13">
      <c r="E670" s="15"/>
      <c r="F670" s="15"/>
      <c r="G670" s="15"/>
      <c r="H670" s="15"/>
      <c r="I670" s="15"/>
      <c r="J670" s="15"/>
      <c r="K670" s="15"/>
      <c r="L670" s="15"/>
      <c r="M670" s="15"/>
    </row>
    <row r="671" spans="5:13">
      <c r="E671" s="15"/>
      <c r="F671" s="15"/>
      <c r="G671" s="15"/>
      <c r="H671" s="15"/>
      <c r="I671" s="15"/>
      <c r="J671" s="15"/>
      <c r="K671" s="15"/>
      <c r="L671" s="15"/>
      <c r="M671" s="15"/>
    </row>
    <row r="672" spans="5:13">
      <c r="E672" s="15"/>
      <c r="F672" s="15"/>
      <c r="G672" s="15"/>
      <c r="H672" s="15"/>
      <c r="I672" s="15"/>
      <c r="J672" s="15"/>
      <c r="K672" s="15"/>
      <c r="L672" s="15"/>
      <c r="M672" s="15"/>
    </row>
    <row r="673" spans="5:13">
      <c r="E673" s="15"/>
      <c r="F673" s="15"/>
      <c r="G673" s="15"/>
      <c r="H673" s="15"/>
      <c r="I673" s="15"/>
      <c r="J673" s="15"/>
      <c r="K673" s="15"/>
      <c r="L673" s="15"/>
      <c r="M673" s="15"/>
    </row>
    <row r="674" spans="5:13">
      <c r="E674" s="15"/>
      <c r="F674" s="15"/>
      <c r="G674" s="15"/>
      <c r="H674" s="15"/>
      <c r="I674" s="15"/>
      <c r="J674" s="15"/>
      <c r="K674" s="15"/>
      <c r="L674" s="15"/>
      <c r="M674" s="15"/>
    </row>
    <row r="675" spans="5:13">
      <c r="E675" s="15"/>
      <c r="F675" s="15"/>
      <c r="G675" s="15"/>
      <c r="H675" s="15"/>
      <c r="I675" s="15"/>
      <c r="J675" s="15"/>
      <c r="K675" s="15"/>
      <c r="L675" s="15"/>
      <c r="M675" s="15"/>
    </row>
    <row r="676" spans="5:13">
      <c r="E676" s="15"/>
      <c r="F676" s="15"/>
      <c r="G676" s="15"/>
      <c r="H676" s="15"/>
      <c r="I676" s="15"/>
      <c r="J676" s="15"/>
      <c r="K676" s="15"/>
      <c r="L676" s="15"/>
      <c r="M676" s="15"/>
    </row>
    <row r="677" spans="5:13">
      <c r="E677" s="15"/>
      <c r="F677" s="15"/>
      <c r="G677" s="15"/>
      <c r="H677" s="15"/>
      <c r="I677" s="15"/>
      <c r="J677" s="15"/>
      <c r="K677" s="15"/>
      <c r="L677" s="15"/>
      <c r="M677" s="15"/>
    </row>
    <row r="678" spans="5:13">
      <c r="E678" s="15"/>
      <c r="F678" s="15"/>
      <c r="G678" s="15"/>
      <c r="H678" s="15"/>
      <c r="I678" s="15"/>
      <c r="J678" s="15"/>
      <c r="K678" s="15"/>
      <c r="L678" s="15"/>
      <c r="M678" s="15"/>
    </row>
    <row r="679" spans="5:13">
      <c r="E679" s="15"/>
      <c r="F679" s="15"/>
      <c r="G679" s="15"/>
      <c r="H679" s="15"/>
      <c r="I679" s="15"/>
      <c r="J679" s="15"/>
      <c r="K679" s="15"/>
      <c r="L679" s="15"/>
      <c r="M679" s="15"/>
    </row>
    <row r="680" spans="5:13">
      <c r="E680" s="15"/>
      <c r="F680" s="15"/>
      <c r="G680" s="15"/>
      <c r="H680" s="15"/>
      <c r="I680" s="15"/>
      <c r="J680" s="15"/>
      <c r="K680" s="15"/>
      <c r="L680" s="15"/>
      <c r="M680" s="15"/>
    </row>
    <row r="681" spans="5:13">
      <c r="E681" s="15"/>
      <c r="F681" s="15"/>
      <c r="G681" s="15"/>
      <c r="H681" s="15"/>
      <c r="I681" s="15"/>
      <c r="J681" s="15"/>
      <c r="K681" s="15"/>
      <c r="L681" s="15"/>
      <c r="M681" s="15"/>
    </row>
    <row r="682" spans="5:13">
      <c r="E682" s="15"/>
      <c r="F682" s="15"/>
      <c r="G682" s="15"/>
      <c r="H682" s="15"/>
      <c r="I682" s="15"/>
      <c r="J682" s="15"/>
      <c r="K682" s="15"/>
      <c r="L682" s="15"/>
      <c r="M682" s="15"/>
    </row>
    <row r="683" spans="5:13">
      <c r="E683" s="15"/>
      <c r="F683" s="15"/>
      <c r="G683" s="15"/>
      <c r="H683" s="15"/>
      <c r="I683" s="15"/>
      <c r="J683" s="15"/>
      <c r="K683" s="15"/>
      <c r="L683" s="15"/>
      <c r="M683" s="15"/>
    </row>
    <row r="684" spans="5:13">
      <c r="E684" s="15"/>
      <c r="F684" s="15"/>
      <c r="G684" s="15"/>
      <c r="H684" s="15"/>
      <c r="I684" s="15"/>
      <c r="J684" s="15"/>
      <c r="K684" s="15"/>
      <c r="L684" s="15"/>
      <c r="M684" s="15"/>
    </row>
    <row r="685" spans="5:13">
      <c r="E685" s="15"/>
      <c r="F685" s="15"/>
      <c r="G685" s="15"/>
      <c r="H685" s="15"/>
      <c r="I685" s="15"/>
      <c r="J685" s="15"/>
      <c r="K685" s="15"/>
      <c r="L685" s="15"/>
      <c r="M685" s="15"/>
    </row>
    <row r="686" spans="5:13">
      <c r="E686" s="15"/>
      <c r="F686" s="15"/>
      <c r="G686" s="15"/>
      <c r="H686" s="15"/>
      <c r="I686" s="15"/>
      <c r="J686" s="15"/>
      <c r="K686" s="15"/>
      <c r="L686" s="15"/>
      <c r="M686" s="15"/>
    </row>
    <row r="687" spans="5:13">
      <c r="E687" s="15"/>
      <c r="F687" s="15"/>
      <c r="G687" s="15"/>
      <c r="H687" s="15"/>
      <c r="I687" s="15"/>
      <c r="J687" s="15"/>
      <c r="K687" s="15"/>
      <c r="L687" s="15"/>
      <c r="M687" s="15"/>
    </row>
    <row r="688" spans="5:13">
      <c r="E688" s="15"/>
      <c r="F688" s="15"/>
      <c r="G688" s="15"/>
      <c r="H688" s="15"/>
      <c r="I688" s="15"/>
      <c r="J688" s="15"/>
      <c r="K688" s="15"/>
      <c r="L688" s="15"/>
      <c r="M688" s="15"/>
    </row>
    <row r="689" spans="5:13">
      <c r="E689" s="15"/>
      <c r="F689" s="15"/>
      <c r="G689" s="15"/>
      <c r="H689" s="15"/>
      <c r="I689" s="15"/>
      <c r="J689" s="15"/>
      <c r="K689" s="15"/>
      <c r="L689" s="15"/>
      <c r="M689" s="15"/>
    </row>
    <row r="690" spans="5:13">
      <c r="E690" s="15"/>
      <c r="F690" s="15"/>
      <c r="G690" s="15"/>
      <c r="H690" s="15"/>
      <c r="I690" s="15"/>
      <c r="J690" s="15"/>
      <c r="K690" s="15"/>
      <c r="L690" s="15"/>
      <c r="M690" s="15"/>
    </row>
    <row r="691" spans="5:13">
      <c r="E691" s="15"/>
      <c r="F691" s="15"/>
      <c r="G691" s="15"/>
      <c r="H691" s="15"/>
      <c r="I691" s="15"/>
      <c r="J691" s="15"/>
      <c r="K691" s="15"/>
      <c r="L691" s="15"/>
      <c r="M691" s="15"/>
    </row>
    <row r="692" spans="5:13">
      <c r="E692" s="15"/>
      <c r="F692" s="15"/>
      <c r="G692" s="15"/>
      <c r="H692" s="15"/>
      <c r="I692" s="15"/>
      <c r="J692" s="15"/>
      <c r="K692" s="15"/>
      <c r="L692" s="15"/>
      <c r="M692" s="15"/>
    </row>
    <row r="693" spans="5:13">
      <c r="E693" s="15"/>
      <c r="F693" s="15"/>
      <c r="G693" s="15"/>
      <c r="H693" s="15"/>
      <c r="I693" s="15"/>
      <c r="J693" s="15"/>
      <c r="K693" s="15"/>
      <c r="L693" s="15"/>
      <c r="M693" s="15"/>
    </row>
    <row r="694" spans="5:13">
      <c r="E694" s="15"/>
      <c r="F694" s="15"/>
      <c r="G694" s="15"/>
      <c r="H694" s="15"/>
      <c r="I694" s="15"/>
      <c r="J694" s="15"/>
      <c r="K694" s="15"/>
      <c r="L694" s="15"/>
      <c r="M694" s="15"/>
    </row>
    <row r="695" spans="5:13">
      <c r="E695" s="15"/>
      <c r="F695" s="15"/>
      <c r="G695" s="15"/>
      <c r="H695" s="15"/>
      <c r="I695" s="15"/>
      <c r="J695" s="15"/>
      <c r="K695" s="15"/>
      <c r="L695" s="15"/>
      <c r="M695" s="15"/>
    </row>
    <row r="696" spans="5:13">
      <c r="E696" s="15"/>
      <c r="F696" s="15"/>
      <c r="G696" s="15"/>
      <c r="H696" s="15"/>
      <c r="I696" s="15"/>
      <c r="J696" s="15"/>
      <c r="K696" s="15"/>
      <c r="L696" s="15"/>
      <c r="M696" s="15"/>
    </row>
    <row r="697" spans="5:13">
      <c r="E697" s="15"/>
      <c r="F697" s="15"/>
      <c r="G697" s="15"/>
      <c r="H697" s="15"/>
      <c r="I697" s="15"/>
      <c r="J697" s="15"/>
      <c r="K697" s="15"/>
      <c r="L697" s="15"/>
      <c r="M697" s="15"/>
    </row>
    <row r="698" spans="5:13">
      <c r="E698" s="15"/>
      <c r="F698" s="15"/>
      <c r="G698" s="15"/>
      <c r="H698" s="15"/>
      <c r="I698" s="15"/>
      <c r="J698" s="15"/>
      <c r="K698" s="15"/>
      <c r="L698" s="15"/>
      <c r="M698" s="15"/>
    </row>
    <row r="699" spans="5:13">
      <c r="E699" s="15"/>
      <c r="F699" s="15"/>
      <c r="G699" s="15"/>
      <c r="H699" s="15"/>
      <c r="I699" s="15"/>
      <c r="J699" s="15"/>
      <c r="K699" s="15"/>
      <c r="L699" s="15"/>
      <c r="M699" s="15"/>
    </row>
    <row r="700" spans="5:13">
      <c r="E700" s="15"/>
      <c r="F700" s="15"/>
      <c r="G700" s="15"/>
      <c r="H700" s="15"/>
      <c r="I700" s="15"/>
      <c r="J700" s="15"/>
      <c r="K700" s="15"/>
      <c r="L700" s="15"/>
      <c r="M700" s="15"/>
    </row>
    <row r="701" spans="5:13">
      <c r="E701" s="15"/>
      <c r="F701" s="15"/>
      <c r="G701" s="15"/>
      <c r="H701" s="15"/>
      <c r="I701" s="15"/>
      <c r="J701" s="15"/>
      <c r="K701" s="15"/>
      <c r="L701" s="15"/>
      <c r="M701" s="15"/>
    </row>
    <row r="702" spans="5:13">
      <c r="E702" s="15"/>
      <c r="F702" s="15"/>
      <c r="G702" s="15"/>
      <c r="H702" s="15"/>
      <c r="I702" s="15"/>
      <c r="J702" s="15"/>
      <c r="K702" s="15"/>
      <c r="L702" s="15"/>
      <c r="M702" s="15"/>
    </row>
    <row r="703" spans="5:13">
      <c r="E703" s="15"/>
      <c r="F703" s="15"/>
      <c r="G703" s="15"/>
      <c r="H703" s="15"/>
      <c r="I703" s="15"/>
      <c r="J703" s="15"/>
      <c r="K703" s="15"/>
      <c r="L703" s="15"/>
      <c r="M703" s="15"/>
    </row>
    <row r="704" spans="5:13">
      <c r="E704" s="15"/>
      <c r="F704" s="15"/>
      <c r="G704" s="15"/>
      <c r="H704" s="15"/>
      <c r="I704" s="15"/>
      <c r="J704" s="15"/>
      <c r="K704" s="15"/>
      <c r="L704" s="15"/>
      <c r="M704" s="15"/>
    </row>
    <row r="705" spans="5:13">
      <c r="E705" s="15"/>
      <c r="F705" s="15"/>
      <c r="G705" s="15"/>
      <c r="H705" s="15"/>
      <c r="I705" s="15"/>
      <c r="J705" s="15"/>
      <c r="K705" s="15"/>
      <c r="L705" s="15"/>
      <c r="M705" s="15"/>
    </row>
    <row r="706" spans="5:13">
      <c r="E706" s="15"/>
      <c r="F706" s="15"/>
      <c r="G706" s="15"/>
      <c r="H706" s="15"/>
      <c r="I706" s="15"/>
      <c r="J706" s="15"/>
      <c r="K706" s="15"/>
      <c r="L706" s="15"/>
      <c r="M706" s="15"/>
    </row>
    <row r="707" spans="5:13">
      <c r="E707" s="15"/>
      <c r="F707" s="15"/>
      <c r="G707" s="15"/>
      <c r="H707" s="15"/>
      <c r="I707" s="15"/>
      <c r="J707" s="15"/>
      <c r="K707" s="15"/>
      <c r="L707" s="15"/>
      <c r="M707" s="15"/>
    </row>
    <row r="708" spans="5:13">
      <c r="E708" s="15"/>
      <c r="F708" s="15"/>
      <c r="G708" s="15"/>
      <c r="H708" s="15"/>
      <c r="I708" s="15"/>
      <c r="J708" s="15"/>
      <c r="K708" s="15"/>
      <c r="L708" s="15"/>
      <c r="M708" s="15"/>
    </row>
    <row r="709" spans="5:13">
      <c r="E709" s="15"/>
      <c r="F709" s="15"/>
      <c r="G709" s="15"/>
      <c r="H709" s="15"/>
      <c r="I709" s="15"/>
      <c r="J709" s="15"/>
      <c r="K709" s="15"/>
      <c r="L709" s="15"/>
      <c r="M709" s="15"/>
    </row>
    <row r="710" spans="5:13">
      <c r="E710" s="15"/>
      <c r="F710" s="15"/>
      <c r="G710" s="15"/>
      <c r="H710" s="15"/>
      <c r="I710" s="15"/>
      <c r="J710" s="15"/>
      <c r="K710" s="15"/>
      <c r="L710" s="15"/>
      <c r="M710" s="15"/>
    </row>
    <row r="711" spans="5:13">
      <c r="E711" s="15"/>
      <c r="F711" s="15"/>
      <c r="G711" s="15"/>
      <c r="H711" s="15"/>
      <c r="I711" s="15"/>
      <c r="J711" s="15"/>
      <c r="K711" s="15"/>
      <c r="L711" s="15"/>
      <c r="M711" s="15"/>
    </row>
    <row r="712" spans="5:13">
      <c r="E712" s="15"/>
      <c r="F712" s="15"/>
      <c r="G712" s="15"/>
      <c r="H712" s="15"/>
      <c r="I712" s="15"/>
      <c r="J712" s="15"/>
      <c r="K712" s="15"/>
      <c r="L712" s="15"/>
      <c r="M712" s="15"/>
    </row>
    <row r="713" spans="5:13">
      <c r="E713" s="15"/>
      <c r="F713" s="15"/>
      <c r="G713" s="15"/>
      <c r="H713" s="15"/>
      <c r="I713" s="15"/>
      <c r="J713" s="15"/>
      <c r="K713" s="15"/>
      <c r="L713" s="15"/>
      <c r="M713" s="15"/>
    </row>
    <row r="714" spans="5:13">
      <c r="E714" s="15"/>
      <c r="F714" s="15"/>
      <c r="G714" s="15"/>
      <c r="H714" s="15"/>
      <c r="I714" s="15"/>
      <c r="J714" s="15"/>
      <c r="K714" s="15"/>
      <c r="L714" s="15"/>
      <c r="M714" s="15"/>
    </row>
    <row r="715" spans="5:13">
      <c r="E715" s="15"/>
      <c r="F715" s="15"/>
      <c r="G715" s="15"/>
      <c r="H715" s="15"/>
      <c r="I715" s="15"/>
      <c r="J715" s="15"/>
      <c r="K715" s="15"/>
      <c r="L715" s="15"/>
      <c r="M715" s="15"/>
    </row>
    <row r="716" spans="5:13">
      <c r="E716" s="15"/>
      <c r="F716" s="15"/>
      <c r="G716" s="15"/>
      <c r="H716" s="15"/>
      <c r="I716" s="15"/>
      <c r="J716" s="15"/>
      <c r="K716" s="15"/>
      <c r="L716" s="15"/>
      <c r="M716" s="15"/>
    </row>
    <row r="717" spans="5:13">
      <c r="E717" s="15"/>
      <c r="F717" s="15"/>
      <c r="G717" s="15"/>
      <c r="H717" s="15"/>
      <c r="I717" s="15"/>
      <c r="J717" s="15"/>
      <c r="K717" s="15"/>
      <c r="L717" s="15"/>
      <c r="M717" s="15"/>
    </row>
    <row r="718" spans="5:13">
      <c r="E718" s="15"/>
      <c r="F718" s="15"/>
      <c r="G718" s="15"/>
      <c r="H718" s="15"/>
      <c r="I718" s="15"/>
      <c r="J718" s="15"/>
      <c r="K718" s="15"/>
      <c r="L718" s="15"/>
      <c r="M718" s="15"/>
    </row>
    <row r="719" spans="5:13">
      <c r="E719" s="15"/>
      <c r="F719" s="15"/>
      <c r="G719" s="15"/>
      <c r="H719" s="15"/>
      <c r="I719" s="15"/>
      <c r="J719" s="15"/>
      <c r="K719" s="15"/>
      <c r="L719" s="15"/>
      <c r="M719" s="15"/>
    </row>
    <row r="720" spans="5:13">
      <c r="E720" s="15"/>
      <c r="F720" s="15"/>
      <c r="G720" s="15"/>
      <c r="H720" s="15"/>
      <c r="I720" s="15"/>
      <c r="J720" s="15"/>
      <c r="K720" s="15"/>
      <c r="L720" s="15"/>
      <c r="M720" s="15"/>
    </row>
    <row r="721" spans="5:13">
      <c r="E721" s="15"/>
      <c r="F721" s="15"/>
      <c r="G721" s="15"/>
      <c r="H721" s="15"/>
      <c r="I721" s="15"/>
      <c r="J721" s="15"/>
      <c r="K721" s="15"/>
      <c r="L721" s="15"/>
      <c r="M721" s="15"/>
    </row>
    <row r="722" spans="5:13">
      <c r="E722" s="15"/>
      <c r="F722" s="15"/>
      <c r="G722" s="15"/>
      <c r="H722" s="15"/>
      <c r="I722" s="15"/>
      <c r="J722" s="15"/>
      <c r="K722" s="15"/>
      <c r="L722" s="15"/>
      <c r="M722" s="15"/>
    </row>
    <row r="723" spans="5:13">
      <c r="E723" s="15"/>
      <c r="F723" s="15"/>
      <c r="G723" s="15"/>
      <c r="H723" s="15"/>
      <c r="I723" s="15"/>
      <c r="J723" s="15"/>
      <c r="K723" s="15"/>
      <c r="L723" s="15"/>
      <c r="M723" s="15"/>
    </row>
    <row r="724" spans="5:13">
      <c r="E724" s="15"/>
      <c r="F724" s="15"/>
      <c r="G724" s="15"/>
      <c r="H724" s="15"/>
      <c r="I724" s="15"/>
      <c r="J724" s="15"/>
      <c r="K724" s="15"/>
      <c r="L724" s="15"/>
      <c r="M724" s="15"/>
    </row>
    <row r="725" spans="5:13">
      <c r="E725" s="15"/>
      <c r="F725" s="15"/>
      <c r="G725" s="15"/>
      <c r="H725" s="15"/>
      <c r="I725" s="15"/>
      <c r="J725" s="15"/>
      <c r="K725" s="15"/>
      <c r="L725" s="15"/>
      <c r="M725" s="15"/>
    </row>
    <row r="726" spans="5:13">
      <c r="E726" s="15"/>
      <c r="F726" s="15"/>
      <c r="G726" s="15"/>
      <c r="H726" s="15"/>
      <c r="I726" s="15"/>
      <c r="J726" s="15"/>
      <c r="K726" s="15"/>
      <c r="L726" s="15"/>
      <c r="M726" s="15"/>
    </row>
    <row r="727" spans="5:13">
      <c r="E727" s="15"/>
      <c r="F727" s="15"/>
      <c r="G727" s="15"/>
      <c r="H727" s="15"/>
      <c r="I727" s="15"/>
      <c r="J727" s="15"/>
      <c r="K727" s="15"/>
      <c r="L727" s="15"/>
      <c r="M727" s="15"/>
    </row>
    <row r="728" spans="5:13">
      <c r="E728" s="15"/>
      <c r="F728" s="15"/>
      <c r="G728" s="15"/>
      <c r="H728" s="15"/>
      <c r="I728" s="15"/>
      <c r="J728" s="15"/>
      <c r="K728" s="15"/>
      <c r="L728" s="15"/>
      <c r="M728" s="15"/>
    </row>
    <row r="729" spans="5:13">
      <c r="E729" s="15"/>
      <c r="F729" s="15"/>
      <c r="G729" s="15"/>
      <c r="H729" s="15"/>
      <c r="I729" s="15"/>
      <c r="J729" s="15"/>
      <c r="K729" s="15"/>
      <c r="L729" s="15"/>
      <c r="M729" s="15"/>
    </row>
    <row r="730" spans="5:13">
      <c r="E730" s="15"/>
      <c r="F730" s="15"/>
      <c r="G730" s="15"/>
      <c r="H730" s="15"/>
      <c r="I730" s="15"/>
      <c r="J730" s="15"/>
      <c r="K730" s="15"/>
      <c r="L730" s="15"/>
      <c r="M730" s="15"/>
    </row>
    <row r="731" spans="5:13">
      <c r="E731" s="15"/>
      <c r="F731" s="15"/>
      <c r="G731" s="15"/>
      <c r="H731" s="15"/>
      <c r="I731" s="15"/>
      <c r="J731" s="15"/>
      <c r="K731" s="15"/>
      <c r="L731" s="15"/>
      <c r="M731" s="15"/>
    </row>
    <row r="732" spans="5:13">
      <c r="E732" s="15"/>
      <c r="F732" s="15"/>
      <c r="G732" s="15"/>
      <c r="H732" s="15"/>
      <c r="I732" s="15"/>
      <c r="J732" s="15"/>
      <c r="K732" s="15"/>
      <c r="L732" s="15"/>
      <c r="M732" s="15"/>
    </row>
    <row r="733" spans="5:13">
      <c r="E733" s="15"/>
      <c r="F733" s="15"/>
      <c r="G733" s="15"/>
      <c r="H733" s="15"/>
      <c r="I733" s="15"/>
      <c r="J733" s="15"/>
      <c r="K733" s="15"/>
      <c r="L733" s="15"/>
      <c r="M733" s="15"/>
    </row>
    <row r="734" spans="5:13">
      <c r="E734" s="15"/>
      <c r="F734" s="15"/>
      <c r="G734" s="15"/>
      <c r="H734" s="15"/>
      <c r="I734" s="15"/>
      <c r="J734" s="15"/>
      <c r="K734" s="15"/>
      <c r="L734" s="15"/>
      <c r="M734" s="15"/>
    </row>
    <row r="735" spans="5:13">
      <c r="E735" s="15"/>
      <c r="F735" s="15"/>
      <c r="G735" s="15"/>
      <c r="H735" s="15"/>
      <c r="I735" s="15"/>
      <c r="J735" s="15"/>
      <c r="K735" s="15"/>
      <c r="L735" s="15"/>
      <c r="M735" s="15"/>
    </row>
    <row r="736" spans="5:13">
      <c r="E736" s="15"/>
      <c r="F736" s="15"/>
      <c r="G736" s="15"/>
      <c r="H736" s="15"/>
      <c r="I736" s="15"/>
      <c r="J736" s="15"/>
      <c r="K736" s="15"/>
      <c r="L736" s="15"/>
      <c r="M736" s="15"/>
    </row>
    <row r="737" spans="5:13">
      <c r="E737" s="15"/>
      <c r="F737" s="15"/>
      <c r="G737" s="15"/>
      <c r="H737" s="15"/>
      <c r="I737" s="15"/>
      <c r="J737" s="15"/>
      <c r="K737" s="15"/>
      <c r="L737" s="15"/>
      <c r="M737" s="15"/>
    </row>
    <row r="738" spans="5:13">
      <c r="E738" s="15"/>
      <c r="F738" s="15"/>
      <c r="G738" s="15"/>
      <c r="H738" s="15"/>
      <c r="I738" s="15"/>
      <c r="J738" s="15"/>
      <c r="K738" s="15"/>
      <c r="L738" s="15"/>
      <c r="M738" s="15"/>
    </row>
    <row r="739" spans="5:13">
      <c r="E739" s="15"/>
      <c r="F739" s="15"/>
      <c r="G739" s="15"/>
      <c r="H739" s="15"/>
      <c r="I739" s="15"/>
      <c r="J739" s="15"/>
      <c r="K739" s="15"/>
      <c r="L739" s="15"/>
      <c r="M739" s="15"/>
    </row>
    <row r="740" spans="5:13">
      <c r="E740" s="15"/>
      <c r="F740" s="15"/>
      <c r="G740" s="15"/>
      <c r="H740" s="15"/>
      <c r="I740" s="15"/>
      <c r="J740" s="15"/>
      <c r="K740" s="15"/>
      <c r="L740" s="15"/>
      <c r="M740" s="15"/>
    </row>
    <row r="741" spans="5:13">
      <c r="E741" s="15"/>
      <c r="F741" s="15"/>
      <c r="G741" s="15"/>
      <c r="H741" s="15"/>
      <c r="I741" s="15"/>
      <c r="J741" s="15"/>
      <c r="K741" s="15"/>
      <c r="L741" s="15"/>
      <c r="M741" s="15"/>
    </row>
    <row r="742" spans="5:13">
      <c r="E742" s="15"/>
      <c r="F742" s="15"/>
      <c r="G742" s="15"/>
      <c r="H742" s="15"/>
      <c r="I742" s="15"/>
      <c r="J742" s="15"/>
      <c r="K742" s="15"/>
      <c r="L742" s="15"/>
      <c r="M742" s="15"/>
    </row>
    <row r="743" spans="5:13">
      <c r="E743" s="15"/>
      <c r="F743" s="15"/>
      <c r="G743" s="15"/>
      <c r="H743" s="15"/>
      <c r="I743" s="15"/>
      <c r="J743" s="15"/>
      <c r="K743" s="15"/>
      <c r="L743" s="15"/>
      <c r="M743" s="15"/>
    </row>
    <row r="744" spans="5:13">
      <c r="E744" s="15"/>
      <c r="F744" s="15"/>
      <c r="G744" s="15"/>
      <c r="H744" s="15"/>
      <c r="I744" s="15"/>
      <c r="J744" s="15"/>
      <c r="K744" s="15"/>
      <c r="L744" s="15"/>
      <c r="M744" s="15"/>
    </row>
    <row r="745" spans="5:13">
      <c r="E745" s="15"/>
      <c r="F745" s="15"/>
      <c r="G745" s="15"/>
      <c r="H745" s="15"/>
      <c r="I745" s="15"/>
      <c r="J745" s="15"/>
      <c r="K745" s="15"/>
      <c r="L745" s="15"/>
      <c r="M745" s="15"/>
    </row>
    <row r="746" spans="5:13">
      <c r="E746" s="15"/>
      <c r="F746" s="15"/>
      <c r="G746" s="15"/>
      <c r="H746" s="15"/>
      <c r="I746" s="15"/>
      <c r="J746" s="15"/>
      <c r="K746" s="15"/>
      <c r="L746" s="15"/>
      <c r="M746" s="15"/>
    </row>
    <row r="747" spans="5:13">
      <c r="E747" s="15"/>
      <c r="F747" s="15"/>
      <c r="G747" s="15"/>
      <c r="H747" s="15"/>
      <c r="I747" s="15"/>
      <c r="J747" s="15"/>
      <c r="K747" s="15"/>
      <c r="L747" s="15"/>
      <c r="M747" s="15"/>
    </row>
    <row r="748" spans="5:13">
      <c r="E748" s="15"/>
      <c r="F748" s="15"/>
      <c r="G748" s="15"/>
      <c r="H748" s="15"/>
      <c r="I748" s="15"/>
      <c r="J748" s="15"/>
      <c r="K748" s="15"/>
      <c r="L748" s="15"/>
      <c r="M748" s="15"/>
    </row>
    <row r="749" spans="5:13">
      <c r="E749" s="15"/>
      <c r="F749" s="15"/>
      <c r="G749" s="15"/>
      <c r="H749" s="15"/>
      <c r="I749" s="15"/>
      <c r="J749" s="15"/>
      <c r="K749" s="15"/>
      <c r="L749" s="15"/>
      <c r="M749" s="15"/>
    </row>
    <row r="750" spans="5:13">
      <c r="E750" s="15"/>
      <c r="F750" s="15"/>
      <c r="G750" s="15"/>
      <c r="H750" s="15"/>
      <c r="I750" s="15"/>
      <c r="J750" s="15"/>
      <c r="K750" s="15"/>
      <c r="L750" s="15"/>
      <c r="M750" s="15"/>
    </row>
    <row r="751" spans="5:13">
      <c r="E751" s="15"/>
      <c r="F751" s="15"/>
      <c r="G751" s="15"/>
      <c r="H751" s="15"/>
      <c r="I751" s="15"/>
      <c r="J751" s="15"/>
      <c r="K751" s="15"/>
      <c r="L751" s="15"/>
      <c r="M751" s="15"/>
    </row>
    <row r="752" spans="5:13">
      <c r="E752" s="15"/>
      <c r="F752" s="15"/>
      <c r="G752" s="15"/>
      <c r="H752" s="15"/>
      <c r="I752" s="15"/>
      <c r="J752" s="15"/>
      <c r="K752" s="15"/>
      <c r="L752" s="15"/>
      <c r="M752" s="15"/>
    </row>
    <row r="753" spans="5:13">
      <c r="E753" s="15"/>
      <c r="F753" s="15"/>
      <c r="G753" s="15"/>
      <c r="H753" s="15"/>
      <c r="I753" s="15"/>
      <c r="J753" s="15"/>
      <c r="K753" s="15"/>
      <c r="L753" s="15"/>
      <c r="M753" s="15"/>
    </row>
    <row r="754" spans="5:13">
      <c r="E754" s="15"/>
      <c r="F754" s="15"/>
      <c r="G754" s="15"/>
      <c r="H754" s="15"/>
      <c r="I754" s="15"/>
      <c r="J754" s="15"/>
      <c r="K754" s="15"/>
      <c r="L754" s="15"/>
      <c r="M754" s="15"/>
    </row>
    <row r="755" spans="5:13">
      <c r="E755" s="15"/>
      <c r="F755" s="15"/>
      <c r="G755" s="15"/>
      <c r="H755" s="15"/>
      <c r="I755" s="15"/>
      <c r="J755" s="15"/>
      <c r="K755" s="15"/>
      <c r="L755" s="15"/>
      <c r="M755" s="15"/>
    </row>
    <row r="756" spans="5:13">
      <c r="E756" s="15"/>
      <c r="F756" s="15"/>
      <c r="G756" s="15"/>
      <c r="H756" s="15"/>
      <c r="I756" s="15"/>
      <c r="J756" s="15"/>
      <c r="K756" s="15"/>
      <c r="L756" s="15"/>
      <c r="M756" s="15"/>
    </row>
    <row r="757" spans="5:13">
      <c r="E757" s="15"/>
      <c r="F757" s="15"/>
      <c r="G757" s="15"/>
      <c r="H757" s="15"/>
      <c r="I757" s="15"/>
      <c r="J757" s="15"/>
      <c r="K757" s="15"/>
      <c r="L757" s="15"/>
      <c r="M757" s="15"/>
    </row>
    <row r="758" spans="5:13">
      <c r="E758" s="15"/>
      <c r="F758" s="15"/>
      <c r="G758" s="15"/>
      <c r="H758" s="15"/>
      <c r="I758" s="15"/>
      <c r="J758" s="15"/>
      <c r="K758" s="15"/>
      <c r="L758" s="15"/>
      <c r="M758" s="15"/>
    </row>
    <row r="759" spans="5:13">
      <c r="E759" s="15"/>
      <c r="F759" s="15"/>
      <c r="G759" s="15"/>
      <c r="H759" s="15"/>
      <c r="I759" s="15"/>
      <c r="J759" s="15"/>
      <c r="K759" s="15"/>
      <c r="L759" s="15"/>
      <c r="M759" s="15"/>
    </row>
    <row r="760" spans="5:13">
      <c r="E760" s="15"/>
      <c r="F760" s="15"/>
      <c r="G760" s="15"/>
      <c r="H760" s="15"/>
      <c r="I760" s="15"/>
      <c r="J760" s="15"/>
      <c r="K760" s="15"/>
      <c r="L760" s="15"/>
      <c r="M760" s="15"/>
    </row>
    <row r="761" spans="5:13">
      <c r="E761" s="15"/>
      <c r="F761" s="15"/>
      <c r="G761" s="15"/>
      <c r="H761" s="15"/>
      <c r="I761" s="15"/>
      <c r="J761" s="15"/>
      <c r="K761" s="15"/>
      <c r="L761" s="15"/>
      <c r="M761" s="15"/>
    </row>
    <row r="762" spans="5:13">
      <c r="E762" s="15"/>
      <c r="F762" s="15"/>
      <c r="G762" s="15"/>
      <c r="H762" s="15"/>
      <c r="I762" s="15"/>
      <c r="J762" s="15"/>
      <c r="K762" s="15"/>
      <c r="L762" s="15"/>
      <c r="M762" s="15"/>
    </row>
    <row r="763" spans="5:13">
      <c r="E763" s="15"/>
      <c r="F763" s="15"/>
      <c r="G763" s="15"/>
      <c r="H763" s="15"/>
      <c r="I763" s="15"/>
      <c r="J763" s="15"/>
      <c r="K763" s="15"/>
      <c r="L763" s="15"/>
      <c r="M763" s="15"/>
    </row>
    <row r="764" spans="5:13">
      <c r="E764" s="15"/>
      <c r="F764" s="15"/>
      <c r="G764" s="15"/>
      <c r="H764" s="15"/>
      <c r="I764" s="15"/>
      <c r="J764" s="15"/>
      <c r="K764" s="15"/>
      <c r="L764" s="15"/>
      <c r="M764" s="15"/>
    </row>
    <row r="765" spans="5:13">
      <c r="E765" s="15"/>
      <c r="F765" s="15"/>
      <c r="G765" s="15"/>
      <c r="H765" s="15"/>
      <c r="I765" s="15"/>
      <c r="J765" s="15"/>
      <c r="K765" s="15"/>
      <c r="L765" s="15"/>
      <c r="M765" s="15"/>
    </row>
    <row r="766" spans="5:13">
      <c r="E766" s="15"/>
      <c r="F766" s="15"/>
      <c r="G766" s="15"/>
      <c r="H766" s="15"/>
      <c r="I766" s="15"/>
      <c r="J766" s="15"/>
      <c r="K766" s="15"/>
      <c r="L766" s="15"/>
      <c r="M766" s="15"/>
    </row>
    <row r="767" spans="5:13">
      <c r="E767" s="15"/>
      <c r="F767" s="15"/>
      <c r="G767" s="15"/>
      <c r="H767" s="15"/>
      <c r="I767" s="15"/>
      <c r="J767" s="15"/>
      <c r="K767" s="15"/>
      <c r="L767" s="15"/>
      <c r="M767" s="15"/>
    </row>
    <row r="768" spans="5:13">
      <c r="E768" s="15"/>
      <c r="F768" s="15"/>
      <c r="G768" s="15"/>
      <c r="H768" s="15"/>
      <c r="I768" s="15"/>
      <c r="J768" s="15"/>
      <c r="K768" s="15"/>
      <c r="L768" s="15"/>
      <c r="M768" s="15"/>
    </row>
    <row r="769" spans="5:13">
      <c r="E769" s="15"/>
      <c r="F769" s="15"/>
      <c r="G769" s="15"/>
      <c r="H769" s="15"/>
      <c r="I769" s="15"/>
      <c r="J769" s="15"/>
      <c r="K769" s="15"/>
      <c r="L769" s="15"/>
      <c r="M769" s="15"/>
    </row>
    <row r="770" spans="5:13">
      <c r="E770" s="15"/>
      <c r="F770" s="15"/>
      <c r="G770" s="15"/>
      <c r="H770" s="15"/>
      <c r="I770" s="15"/>
      <c r="J770" s="15"/>
      <c r="K770" s="15"/>
      <c r="L770" s="15"/>
      <c r="M770" s="15"/>
    </row>
    <row r="771" spans="5:13">
      <c r="E771" s="15"/>
      <c r="F771" s="15"/>
      <c r="G771" s="15"/>
      <c r="H771" s="15"/>
      <c r="I771" s="15"/>
      <c r="J771" s="15"/>
      <c r="K771" s="15"/>
      <c r="L771" s="15"/>
      <c r="M771" s="15"/>
    </row>
    <row r="772" spans="5:13">
      <c r="E772" s="15"/>
      <c r="F772" s="15"/>
      <c r="G772" s="15"/>
      <c r="H772" s="15"/>
      <c r="I772" s="15"/>
      <c r="J772" s="15"/>
      <c r="K772" s="15"/>
      <c r="L772" s="15"/>
      <c r="M772" s="15"/>
    </row>
    <row r="773" spans="5:13">
      <c r="E773" s="15"/>
      <c r="F773" s="15"/>
      <c r="G773" s="15"/>
      <c r="H773" s="15"/>
      <c r="I773" s="15"/>
      <c r="J773" s="15"/>
      <c r="K773" s="15"/>
      <c r="L773" s="15"/>
      <c r="M773" s="15"/>
    </row>
    <row r="774" spans="5:13">
      <c r="E774" s="15"/>
      <c r="F774" s="15"/>
      <c r="G774" s="15"/>
      <c r="H774" s="15"/>
      <c r="I774" s="15"/>
      <c r="J774" s="15"/>
      <c r="K774" s="15"/>
      <c r="L774" s="15"/>
      <c r="M774" s="15"/>
    </row>
    <row r="775" spans="5:13">
      <c r="E775" s="15"/>
      <c r="F775" s="15"/>
      <c r="G775" s="15"/>
      <c r="H775" s="15"/>
      <c r="I775" s="15"/>
      <c r="J775" s="15"/>
      <c r="K775" s="15"/>
      <c r="L775" s="15"/>
      <c r="M775" s="15"/>
    </row>
    <row r="776" spans="5:13">
      <c r="E776" s="15"/>
      <c r="F776" s="15"/>
      <c r="G776" s="15"/>
      <c r="H776" s="15"/>
      <c r="I776" s="15"/>
      <c r="J776" s="15"/>
      <c r="K776" s="15"/>
      <c r="L776" s="15"/>
      <c r="M776" s="15"/>
    </row>
    <row r="777" spans="5:13">
      <c r="E777" s="15"/>
      <c r="F777" s="15"/>
      <c r="G777" s="15"/>
      <c r="H777" s="15"/>
      <c r="I777" s="15"/>
      <c r="J777" s="15"/>
      <c r="K777" s="15"/>
      <c r="L777" s="15"/>
      <c r="M777" s="15"/>
    </row>
    <row r="778" spans="5:13">
      <c r="E778" s="15"/>
      <c r="F778" s="15"/>
      <c r="G778" s="15"/>
      <c r="H778" s="15"/>
      <c r="I778" s="15"/>
      <c r="J778" s="15"/>
      <c r="K778" s="15"/>
      <c r="L778" s="15"/>
      <c r="M778" s="15"/>
    </row>
    <row r="779" spans="5:13">
      <c r="E779" s="15"/>
      <c r="F779" s="15"/>
      <c r="G779" s="15"/>
      <c r="H779" s="15"/>
      <c r="I779" s="15"/>
      <c r="J779" s="15"/>
      <c r="K779" s="15"/>
      <c r="L779" s="15"/>
      <c r="M779" s="15"/>
    </row>
    <row r="780" spans="5:13">
      <c r="E780" s="15"/>
      <c r="F780" s="15"/>
      <c r="G780" s="15"/>
      <c r="H780" s="15"/>
      <c r="I780" s="15"/>
      <c r="J780" s="15"/>
      <c r="K780" s="15"/>
      <c r="L780" s="15"/>
      <c r="M780" s="15"/>
    </row>
    <row r="781" spans="5:13">
      <c r="E781" s="15"/>
      <c r="F781" s="15"/>
      <c r="G781" s="15"/>
      <c r="H781" s="15"/>
      <c r="I781" s="15"/>
      <c r="J781" s="15"/>
      <c r="K781" s="15"/>
      <c r="L781" s="15"/>
      <c r="M781" s="15"/>
    </row>
    <row r="782" spans="5:13">
      <c r="E782" s="15"/>
      <c r="F782" s="15"/>
      <c r="G782" s="15"/>
      <c r="H782" s="15"/>
      <c r="I782" s="15"/>
      <c r="J782" s="15"/>
      <c r="K782" s="15"/>
      <c r="L782" s="15"/>
      <c r="M782" s="15"/>
    </row>
    <row r="783" spans="5:13">
      <c r="E783" s="15"/>
      <c r="F783" s="15"/>
      <c r="G783" s="15"/>
      <c r="H783" s="15"/>
      <c r="I783" s="15"/>
      <c r="J783" s="15"/>
      <c r="K783" s="15"/>
      <c r="L783" s="15"/>
      <c r="M783" s="15"/>
    </row>
    <row r="784" spans="5:13">
      <c r="E784" s="15"/>
      <c r="F784" s="15"/>
      <c r="G784" s="15"/>
      <c r="H784" s="15"/>
      <c r="I784" s="15"/>
      <c r="J784" s="15"/>
      <c r="K784" s="15"/>
      <c r="L784" s="15"/>
      <c r="M784" s="15"/>
    </row>
    <row r="785" spans="5:13">
      <c r="E785" s="15"/>
      <c r="F785" s="15"/>
      <c r="G785" s="15"/>
      <c r="H785" s="15"/>
      <c r="I785" s="15"/>
      <c r="J785" s="15"/>
      <c r="K785" s="15"/>
      <c r="L785" s="15"/>
      <c r="M785" s="15"/>
    </row>
    <row r="786" spans="5:13">
      <c r="E786" s="15"/>
      <c r="F786" s="15"/>
      <c r="G786" s="15"/>
      <c r="H786" s="15"/>
      <c r="I786" s="15"/>
      <c r="J786" s="15"/>
      <c r="K786" s="15"/>
      <c r="L786" s="15"/>
      <c r="M786" s="15"/>
    </row>
    <row r="787" spans="5:13">
      <c r="E787" s="15"/>
      <c r="F787" s="15"/>
      <c r="G787" s="15"/>
      <c r="H787" s="15"/>
      <c r="I787" s="15"/>
      <c r="J787" s="15"/>
      <c r="K787" s="15"/>
      <c r="L787" s="15"/>
      <c r="M787" s="15"/>
    </row>
    <row r="788" spans="5:13">
      <c r="E788" s="15"/>
      <c r="F788" s="15"/>
      <c r="G788" s="15"/>
      <c r="H788" s="15"/>
      <c r="I788" s="15"/>
      <c r="J788" s="15"/>
      <c r="K788" s="15"/>
      <c r="L788" s="15"/>
      <c r="M788" s="15"/>
    </row>
    <row r="789" spans="5:13">
      <c r="E789" s="15"/>
      <c r="F789" s="15"/>
      <c r="G789" s="15"/>
      <c r="H789" s="15"/>
      <c r="I789" s="15"/>
      <c r="J789" s="15"/>
      <c r="K789" s="15"/>
      <c r="L789" s="15"/>
      <c r="M789" s="15"/>
    </row>
    <row r="790" spans="5:13">
      <c r="E790" s="15"/>
      <c r="F790" s="15"/>
      <c r="G790" s="15"/>
      <c r="H790" s="15"/>
      <c r="I790" s="15"/>
      <c r="J790" s="15"/>
      <c r="K790" s="15"/>
      <c r="L790" s="15"/>
      <c r="M790" s="15"/>
    </row>
    <row r="791" spans="5:13">
      <c r="E791" s="15"/>
      <c r="F791" s="15"/>
      <c r="G791" s="15"/>
      <c r="H791" s="15"/>
      <c r="I791" s="15"/>
      <c r="J791" s="15"/>
      <c r="K791" s="15"/>
      <c r="L791" s="15"/>
      <c r="M791" s="15"/>
    </row>
    <row r="792" spans="5:13">
      <c r="E792" s="15"/>
      <c r="F792" s="15"/>
      <c r="G792" s="15"/>
      <c r="H792" s="15"/>
      <c r="I792" s="15"/>
      <c r="J792" s="15"/>
      <c r="K792" s="15"/>
      <c r="L792" s="15"/>
      <c r="M792" s="15"/>
    </row>
    <row r="793" spans="5:13">
      <c r="E793" s="15"/>
      <c r="F793" s="15"/>
      <c r="G793" s="15"/>
      <c r="H793" s="15"/>
      <c r="I793" s="15"/>
      <c r="J793" s="15"/>
      <c r="K793" s="15"/>
      <c r="L793" s="15"/>
      <c r="M793" s="15"/>
    </row>
    <row r="794" spans="5:13">
      <c r="E794" s="15"/>
      <c r="F794" s="15"/>
      <c r="G794" s="15"/>
      <c r="H794" s="15"/>
      <c r="I794" s="15"/>
      <c r="J794" s="15"/>
      <c r="K794" s="15"/>
      <c r="L794" s="15"/>
      <c r="M794" s="15"/>
    </row>
    <row r="795" spans="5:13">
      <c r="E795" s="15"/>
      <c r="F795" s="15"/>
      <c r="G795" s="15"/>
      <c r="H795" s="15"/>
      <c r="I795" s="15"/>
      <c r="J795" s="15"/>
      <c r="K795" s="15"/>
      <c r="L795" s="15"/>
      <c r="M795" s="15"/>
    </row>
    <row r="796" spans="5:13">
      <c r="E796" s="15"/>
      <c r="F796" s="15"/>
      <c r="G796" s="15"/>
      <c r="H796" s="15"/>
      <c r="I796" s="15"/>
      <c r="J796" s="15"/>
      <c r="K796" s="15"/>
      <c r="L796" s="15"/>
      <c r="M796" s="15"/>
    </row>
    <row r="797" spans="5:13">
      <c r="E797" s="15"/>
      <c r="F797" s="15"/>
      <c r="G797" s="15"/>
      <c r="H797" s="15"/>
      <c r="I797" s="15"/>
      <c r="J797" s="15"/>
      <c r="K797" s="15"/>
      <c r="L797" s="15"/>
      <c r="M797" s="15"/>
    </row>
    <row r="798" spans="5:13">
      <c r="E798" s="15"/>
      <c r="F798" s="15"/>
      <c r="G798" s="15"/>
      <c r="H798" s="15"/>
      <c r="I798" s="15"/>
      <c r="J798" s="15"/>
      <c r="K798" s="15"/>
      <c r="L798" s="15"/>
      <c r="M798" s="15"/>
    </row>
    <row r="799" spans="5:13">
      <c r="E799" s="15"/>
      <c r="F799" s="15"/>
      <c r="G799" s="15"/>
      <c r="H799" s="15"/>
      <c r="I799" s="15"/>
      <c r="J799" s="15"/>
      <c r="K799" s="15"/>
      <c r="L799" s="15"/>
      <c r="M799" s="15"/>
    </row>
    <row r="800" spans="5:13">
      <c r="E800" s="15"/>
      <c r="F800" s="15"/>
      <c r="G800" s="15"/>
      <c r="H800" s="15"/>
      <c r="I800" s="15"/>
      <c r="J800" s="15"/>
      <c r="K800" s="15"/>
      <c r="L800" s="15"/>
      <c r="M800" s="15"/>
    </row>
    <row r="801" spans="5:13">
      <c r="E801" s="15"/>
      <c r="F801" s="15"/>
      <c r="G801" s="15"/>
      <c r="H801" s="15"/>
      <c r="I801" s="15"/>
      <c r="J801" s="15"/>
      <c r="K801" s="15"/>
      <c r="L801" s="15"/>
      <c r="M801" s="15"/>
    </row>
    <row r="802" spans="5:13">
      <c r="E802" s="15"/>
      <c r="F802" s="15"/>
      <c r="G802" s="15"/>
      <c r="H802" s="15"/>
      <c r="I802" s="15"/>
      <c r="J802" s="15"/>
      <c r="K802" s="15"/>
      <c r="L802" s="15"/>
      <c r="M802" s="15"/>
    </row>
    <row r="803" spans="5:13">
      <c r="E803" s="15"/>
      <c r="F803" s="15"/>
      <c r="G803" s="15"/>
      <c r="H803" s="15"/>
      <c r="I803" s="15"/>
      <c r="J803" s="15"/>
      <c r="K803" s="15"/>
      <c r="L803" s="15"/>
      <c r="M803" s="15"/>
    </row>
    <row r="804" spans="5:13">
      <c r="E804" s="15"/>
      <c r="F804" s="15"/>
      <c r="G804" s="15"/>
      <c r="H804" s="15"/>
      <c r="I804" s="15"/>
      <c r="J804" s="15"/>
      <c r="K804" s="15"/>
      <c r="L804" s="15"/>
      <c r="M804" s="15"/>
    </row>
    <row r="805" spans="5:13">
      <c r="E805" s="15"/>
      <c r="F805" s="15"/>
      <c r="G805" s="15"/>
      <c r="H805" s="15"/>
      <c r="I805" s="15"/>
      <c r="J805" s="15"/>
      <c r="K805" s="15"/>
      <c r="L805" s="15"/>
      <c r="M805" s="15"/>
    </row>
    <row r="806" spans="5:13">
      <c r="E806" s="15"/>
      <c r="F806" s="15"/>
      <c r="G806" s="15"/>
      <c r="H806" s="15"/>
      <c r="I806" s="15"/>
      <c r="J806" s="15"/>
      <c r="K806" s="15"/>
      <c r="L806" s="15"/>
      <c r="M806" s="15"/>
    </row>
    <row r="807" spans="5:13">
      <c r="E807" s="15"/>
      <c r="F807" s="15"/>
      <c r="G807" s="15"/>
      <c r="H807" s="15"/>
      <c r="I807" s="15"/>
      <c r="J807" s="15"/>
      <c r="K807" s="15"/>
      <c r="L807" s="15"/>
      <c r="M807" s="15"/>
    </row>
    <row r="808" spans="5:13">
      <c r="E808" s="15"/>
      <c r="F808" s="15"/>
      <c r="G808" s="15"/>
      <c r="H808" s="15"/>
      <c r="I808" s="15"/>
      <c r="J808" s="15"/>
      <c r="K808" s="15"/>
      <c r="L808" s="15"/>
      <c r="M808" s="15"/>
    </row>
    <row r="809" spans="5:13">
      <c r="E809" s="15"/>
      <c r="F809" s="15"/>
      <c r="G809" s="15"/>
      <c r="H809" s="15"/>
      <c r="I809" s="15"/>
      <c r="J809" s="15"/>
      <c r="K809" s="15"/>
      <c r="L809" s="15"/>
      <c r="M809" s="15"/>
    </row>
    <row r="810" spans="5:13">
      <c r="E810" s="15"/>
      <c r="F810" s="15"/>
      <c r="G810" s="15"/>
      <c r="H810" s="15"/>
      <c r="I810" s="15"/>
      <c r="J810" s="15"/>
      <c r="K810" s="15"/>
      <c r="L810" s="15"/>
      <c r="M810" s="15"/>
    </row>
    <row r="811" spans="5:13">
      <c r="E811" s="15"/>
      <c r="F811" s="15"/>
      <c r="G811" s="15"/>
      <c r="H811" s="15"/>
      <c r="I811" s="15"/>
      <c r="J811" s="15"/>
      <c r="K811" s="15"/>
      <c r="L811" s="15"/>
      <c r="M811" s="15"/>
    </row>
    <row r="812" spans="5:13">
      <c r="E812" s="15"/>
      <c r="F812" s="15"/>
      <c r="G812" s="15"/>
      <c r="H812" s="15"/>
      <c r="I812" s="15"/>
      <c r="J812" s="15"/>
      <c r="K812" s="15"/>
      <c r="L812" s="15"/>
      <c r="M812" s="15"/>
    </row>
    <row r="813" spans="5:13">
      <c r="E813" s="15"/>
      <c r="F813" s="15"/>
      <c r="G813" s="15"/>
      <c r="H813" s="15"/>
      <c r="I813" s="15"/>
      <c r="J813" s="15"/>
      <c r="K813" s="15"/>
      <c r="L813" s="15"/>
      <c r="M813" s="15"/>
    </row>
    <row r="814" spans="5:13">
      <c r="E814" s="15"/>
      <c r="F814" s="15"/>
      <c r="G814" s="15"/>
      <c r="H814" s="15"/>
      <c r="I814" s="15"/>
      <c r="J814" s="15"/>
      <c r="K814" s="15"/>
      <c r="L814" s="15"/>
      <c r="M814" s="15"/>
    </row>
    <row r="815" spans="5:13">
      <c r="E815" s="15"/>
      <c r="F815" s="15"/>
      <c r="G815" s="15"/>
      <c r="H815" s="15"/>
      <c r="I815" s="15"/>
      <c r="J815" s="15"/>
      <c r="K815" s="15"/>
      <c r="L815" s="15"/>
      <c r="M815" s="15"/>
    </row>
    <row r="816" spans="5:13">
      <c r="E816" s="15"/>
      <c r="F816" s="15"/>
      <c r="G816" s="15"/>
      <c r="H816" s="15"/>
      <c r="I816" s="15"/>
      <c r="J816" s="15"/>
      <c r="K816" s="15"/>
      <c r="L816" s="15"/>
      <c r="M816" s="15"/>
    </row>
    <row r="817" spans="5:13">
      <c r="E817" s="15"/>
      <c r="F817" s="15"/>
      <c r="G817" s="15"/>
      <c r="H817" s="15"/>
      <c r="I817" s="15"/>
      <c r="J817" s="15"/>
      <c r="K817" s="15"/>
      <c r="L817" s="15"/>
      <c r="M817" s="15"/>
    </row>
    <row r="818" spans="5:13">
      <c r="E818" s="15"/>
      <c r="F818" s="15"/>
      <c r="G818" s="15"/>
      <c r="H818" s="15"/>
      <c r="I818" s="15"/>
      <c r="J818" s="15"/>
      <c r="K818" s="15"/>
      <c r="L818" s="15"/>
      <c r="M818" s="15"/>
    </row>
    <row r="819" spans="5:13">
      <c r="E819" s="15"/>
      <c r="F819" s="15"/>
      <c r="G819" s="15"/>
      <c r="H819" s="15"/>
      <c r="I819" s="15"/>
      <c r="J819" s="15"/>
      <c r="K819" s="15"/>
      <c r="L819" s="15"/>
      <c r="M819" s="15"/>
    </row>
    <row r="820" spans="5:13">
      <c r="E820" s="15"/>
      <c r="F820" s="15"/>
      <c r="G820" s="15"/>
      <c r="H820" s="15"/>
      <c r="I820" s="15"/>
      <c r="J820" s="15"/>
      <c r="K820" s="15"/>
      <c r="L820" s="15"/>
      <c r="M820" s="15"/>
    </row>
    <row r="821" spans="5:13">
      <c r="E821" s="15"/>
      <c r="F821" s="15"/>
      <c r="G821" s="15"/>
      <c r="H821" s="15"/>
      <c r="I821" s="15"/>
      <c r="J821" s="15"/>
      <c r="K821" s="15"/>
      <c r="L821" s="15"/>
      <c r="M821" s="15"/>
    </row>
    <row r="822" spans="5:13">
      <c r="E822" s="15"/>
      <c r="F822" s="15"/>
      <c r="G822" s="15"/>
      <c r="H822" s="15"/>
      <c r="I822" s="15"/>
      <c r="J822" s="15"/>
      <c r="K822" s="15"/>
      <c r="L822" s="15"/>
      <c r="M822" s="15"/>
    </row>
    <row r="823" spans="5:13">
      <c r="E823" s="15"/>
      <c r="F823" s="15"/>
      <c r="G823" s="15"/>
      <c r="H823" s="15"/>
      <c r="I823" s="15"/>
      <c r="J823" s="15"/>
      <c r="K823" s="15"/>
      <c r="L823" s="15"/>
      <c r="M823" s="15"/>
    </row>
    <row r="824" spans="5:13">
      <c r="E824" s="15"/>
      <c r="F824" s="15"/>
      <c r="G824" s="15"/>
      <c r="H824" s="15"/>
      <c r="I824" s="15"/>
      <c r="J824" s="15"/>
      <c r="K824" s="15"/>
      <c r="L824" s="15"/>
      <c r="M824" s="15"/>
    </row>
    <row r="825" spans="5:13">
      <c r="E825" s="15"/>
      <c r="F825" s="15"/>
      <c r="G825" s="15"/>
      <c r="H825" s="15"/>
      <c r="I825" s="15"/>
      <c r="J825" s="15"/>
      <c r="K825" s="15"/>
      <c r="L825" s="15"/>
      <c r="M825" s="15"/>
    </row>
    <row r="826" spans="5:13">
      <c r="E826" s="15"/>
      <c r="F826" s="15"/>
      <c r="G826" s="15"/>
      <c r="H826" s="15"/>
      <c r="I826" s="15"/>
      <c r="J826" s="15"/>
      <c r="K826" s="15"/>
      <c r="L826" s="15"/>
      <c r="M826" s="15"/>
    </row>
    <row r="827" spans="5:13">
      <c r="E827" s="15"/>
      <c r="F827" s="15"/>
      <c r="G827" s="15"/>
      <c r="H827" s="15"/>
      <c r="I827" s="15"/>
      <c r="J827" s="15"/>
      <c r="K827" s="15"/>
      <c r="L827" s="15"/>
      <c r="M827" s="15"/>
    </row>
    <row r="828" spans="5:13">
      <c r="E828" s="15"/>
      <c r="F828" s="15"/>
      <c r="G828" s="15"/>
      <c r="H828" s="15"/>
      <c r="I828" s="15"/>
      <c r="J828" s="15"/>
      <c r="K828" s="15"/>
      <c r="L828" s="15"/>
      <c r="M828" s="15"/>
    </row>
    <row r="829" spans="5:13">
      <c r="E829" s="15"/>
      <c r="F829" s="15"/>
      <c r="G829" s="15"/>
      <c r="H829" s="15"/>
      <c r="I829" s="15"/>
      <c r="J829" s="15"/>
      <c r="K829" s="15"/>
      <c r="L829" s="15"/>
      <c r="M829" s="15"/>
    </row>
    <row r="830" spans="5:13">
      <c r="E830" s="15"/>
      <c r="F830" s="15"/>
      <c r="G830" s="15"/>
      <c r="H830" s="15"/>
      <c r="I830" s="15"/>
      <c r="J830" s="15"/>
      <c r="K830" s="15"/>
      <c r="L830" s="15"/>
      <c r="M830" s="15"/>
    </row>
    <row r="831" spans="5:13">
      <c r="E831" s="15"/>
      <c r="F831" s="15"/>
      <c r="G831" s="15"/>
      <c r="H831" s="15"/>
      <c r="I831" s="15"/>
      <c r="J831" s="15"/>
      <c r="K831" s="15"/>
      <c r="L831" s="15"/>
      <c r="M831" s="15"/>
    </row>
    <row r="832" spans="5:13">
      <c r="E832" s="15"/>
      <c r="F832" s="15"/>
      <c r="G832" s="15"/>
      <c r="H832" s="15"/>
      <c r="I832" s="15"/>
      <c r="J832" s="15"/>
      <c r="K832" s="15"/>
      <c r="L832" s="15"/>
      <c r="M832" s="15"/>
    </row>
    <row r="833" spans="5:13">
      <c r="E833" s="15"/>
      <c r="F833" s="15"/>
      <c r="G833" s="15"/>
      <c r="H833" s="15"/>
      <c r="I833" s="15"/>
      <c r="J833" s="15"/>
      <c r="K833" s="15"/>
      <c r="L833" s="15"/>
      <c r="M833" s="15"/>
    </row>
    <row r="834" spans="5:13">
      <c r="E834" s="15"/>
      <c r="F834" s="15"/>
      <c r="G834" s="15"/>
      <c r="H834" s="15"/>
      <c r="I834" s="15"/>
      <c r="J834" s="15"/>
      <c r="K834" s="15"/>
      <c r="L834" s="15"/>
      <c r="M834" s="15"/>
    </row>
    <row r="835" spans="5:13">
      <c r="E835" s="15"/>
      <c r="F835" s="15"/>
      <c r="G835" s="15"/>
      <c r="H835" s="15"/>
      <c r="I835" s="15"/>
      <c r="J835" s="15"/>
      <c r="K835" s="15"/>
      <c r="L835" s="15"/>
      <c r="M835" s="15"/>
    </row>
    <row r="836" spans="5:13">
      <c r="E836" s="15"/>
      <c r="F836" s="15"/>
      <c r="G836" s="15"/>
      <c r="H836" s="15"/>
      <c r="I836" s="15"/>
      <c r="J836" s="15"/>
      <c r="K836" s="15"/>
      <c r="L836" s="15"/>
      <c r="M836" s="15"/>
    </row>
    <row r="837" spans="5:13">
      <c r="E837" s="15"/>
      <c r="F837" s="15"/>
      <c r="G837" s="15"/>
      <c r="H837" s="15"/>
      <c r="I837" s="15"/>
      <c r="J837" s="15"/>
      <c r="K837" s="15"/>
      <c r="L837" s="15"/>
      <c r="M837" s="15"/>
    </row>
    <row r="838" spans="5:13">
      <c r="E838" s="15"/>
      <c r="F838" s="15"/>
      <c r="G838" s="15"/>
      <c r="H838" s="15"/>
      <c r="I838" s="15"/>
      <c r="J838" s="15"/>
      <c r="K838" s="15"/>
      <c r="L838" s="15"/>
      <c r="M838" s="15"/>
    </row>
    <row r="839" spans="5:13">
      <c r="E839" s="15"/>
      <c r="F839" s="15"/>
      <c r="G839" s="15"/>
      <c r="H839" s="15"/>
      <c r="I839" s="15"/>
      <c r="J839" s="15"/>
      <c r="K839" s="15"/>
      <c r="L839" s="15"/>
      <c r="M839" s="15"/>
    </row>
    <row r="840" spans="5:13">
      <c r="E840" s="15"/>
      <c r="F840" s="15"/>
      <c r="G840" s="15"/>
      <c r="H840" s="15"/>
      <c r="I840" s="15"/>
      <c r="J840" s="15"/>
      <c r="K840" s="15"/>
      <c r="L840" s="15"/>
      <c r="M840" s="15"/>
    </row>
    <row r="841" spans="5:13">
      <c r="E841" s="15"/>
      <c r="F841" s="15"/>
      <c r="G841" s="15"/>
      <c r="H841" s="15"/>
      <c r="I841" s="15"/>
      <c r="J841" s="15"/>
      <c r="K841" s="15"/>
      <c r="L841" s="15"/>
      <c r="M841" s="15"/>
    </row>
    <row r="842" spans="5:13">
      <c r="E842" s="15"/>
      <c r="F842" s="15"/>
      <c r="G842" s="15"/>
      <c r="H842" s="15"/>
      <c r="I842" s="15"/>
      <c r="J842" s="15"/>
      <c r="K842" s="15"/>
      <c r="L842" s="15"/>
      <c r="M842" s="15"/>
    </row>
    <row r="843" spans="5:13">
      <c r="E843" s="15"/>
      <c r="F843" s="15"/>
      <c r="G843" s="15"/>
      <c r="H843" s="15"/>
      <c r="I843" s="15"/>
      <c r="J843" s="15"/>
      <c r="K843" s="15"/>
      <c r="L843" s="15"/>
      <c r="M843" s="15"/>
    </row>
    <row r="844" spans="5:13">
      <c r="E844" s="15"/>
      <c r="F844" s="15"/>
      <c r="G844" s="15"/>
      <c r="H844" s="15"/>
      <c r="I844" s="15"/>
      <c r="J844" s="15"/>
      <c r="K844" s="15"/>
      <c r="L844" s="15"/>
      <c r="M844" s="15"/>
    </row>
    <row r="845" spans="5:13">
      <c r="E845" s="15"/>
      <c r="F845" s="15"/>
      <c r="G845" s="15"/>
      <c r="H845" s="15"/>
      <c r="I845" s="15"/>
      <c r="J845" s="15"/>
      <c r="K845" s="15"/>
      <c r="L845" s="15"/>
      <c r="M845" s="15"/>
    </row>
    <row r="846" spans="5:13">
      <c r="E846" s="15"/>
      <c r="F846" s="15"/>
      <c r="G846" s="15"/>
      <c r="H846" s="15"/>
      <c r="I846" s="15"/>
      <c r="J846" s="15"/>
      <c r="K846" s="15"/>
      <c r="L846" s="15"/>
      <c r="M846" s="15"/>
    </row>
    <row r="847" spans="5:13">
      <c r="E847" s="15"/>
      <c r="F847" s="15"/>
      <c r="G847" s="15"/>
      <c r="H847" s="15"/>
      <c r="I847" s="15"/>
      <c r="J847" s="15"/>
      <c r="K847" s="15"/>
      <c r="L847" s="15"/>
      <c r="M847" s="15"/>
    </row>
    <row r="848" spans="5:13">
      <c r="E848" s="15"/>
      <c r="F848" s="15"/>
      <c r="G848" s="15"/>
      <c r="H848" s="15"/>
      <c r="I848" s="15"/>
      <c r="J848" s="15"/>
      <c r="K848" s="15"/>
      <c r="L848" s="15"/>
      <c r="M848" s="15"/>
    </row>
    <row r="849" spans="5:13">
      <c r="E849" s="15"/>
      <c r="F849" s="15"/>
      <c r="G849" s="15"/>
      <c r="H849" s="15"/>
      <c r="I849" s="15"/>
      <c r="J849" s="15"/>
      <c r="K849" s="15"/>
      <c r="L849" s="15"/>
      <c r="M849" s="15"/>
    </row>
    <row r="850" spans="5:13">
      <c r="E850" s="15"/>
      <c r="F850" s="15"/>
      <c r="G850" s="15"/>
      <c r="H850" s="15"/>
      <c r="I850" s="15"/>
      <c r="J850" s="15"/>
      <c r="K850" s="15"/>
      <c r="L850" s="15"/>
      <c r="M850" s="15"/>
    </row>
    <row r="851" spans="5:13">
      <c r="E851" s="15"/>
      <c r="F851" s="15"/>
      <c r="G851" s="15"/>
      <c r="H851" s="15"/>
      <c r="I851" s="15"/>
      <c r="J851" s="15"/>
      <c r="K851" s="15"/>
      <c r="L851" s="15"/>
      <c r="M851" s="15"/>
    </row>
    <row r="852" spans="5:13">
      <c r="E852" s="15"/>
      <c r="F852" s="15"/>
      <c r="G852" s="15"/>
      <c r="H852" s="15"/>
      <c r="I852" s="15"/>
      <c r="J852" s="15"/>
      <c r="K852" s="15"/>
      <c r="L852" s="15"/>
      <c r="M852" s="15"/>
    </row>
    <row r="853" spans="5:13">
      <c r="E853" s="15"/>
      <c r="F853" s="15"/>
      <c r="G853" s="15"/>
      <c r="H853" s="15"/>
      <c r="I853" s="15"/>
      <c r="J853" s="15"/>
      <c r="K853" s="15"/>
      <c r="L853" s="15"/>
      <c r="M853" s="15"/>
    </row>
    <row r="854" spans="5:13">
      <c r="E854" s="15"/>
      <c r="F854" s="15"/>
      <c r="G854" s="15"/>
      <c r="H854" s="15"/>
      <c r="I854" s="15"/>
      <c r="J854" s="15"/>
      <c r="K854" s="15"/>
      <c r="L854" s="15"/>
      <c r="M854" s="15"/>
    </row>
    <row r="855" spans="5:13">
      <c r="E855" s="15"/>
      <c r="F855" s="15"/>
      <c r="G855" s="15"/>
      <c r="H855" s="15"/>
      <c r="I855" s="15"/>
      <c r="J855" s="15"/>
      <c r="K855" s="15"/>
      <c r="L855" s="15"/>
      <c r="M855" s="15"/>
    </row>
    <row r="856" spans="5:13">
      <c r="E856" s="15"/>
      <c r="F856" s="15"/>
      <c r="G856" s="15"/>
      <c r="H856" s="15"/>
      <c r="I856" s="15"/>
      <c r="J856" s="15"/>
      <c r="K856" s="15"/>
      <c r="L856" s="15"/>
      <c r="M856" s="15"/>
    </row>
    <row r="857" spans="5:13">
      <c r="E857" s="15"/>
      <c r="F857" s="15"/>
      <c r="G857" s="15"/>
      <c r="H857" s="15"/>
      <c r="I857" s="15"/>
      <c r="J857" s="15"/>
      <c r="K857" s="15"/>
      <c r="L857" s="15"/>
      <c r="M857" s="15"/>
    </row>
    <row r="858" spans="5:13">
      <c r="E858" s="15"/>
      <c r="F858" s="15"/>
      <c r="G858" s="15"/>
      <c r="H858" s="15"/>
      <c r="I858" s="15"/>
      <c r="J858" s="15"/>
      <c r="K858" s="15"/>
      <c r="L858" s="15"/>
      <c r="M858" s="15"/>
    </row>
    <row r="859" spans="5:13">
      <c r="E859" s="15"/>
      <c r="F859" s="15"/>
      <c r="G859" s="15"/>
      <c r="H859" s="15"/>
      <c r="I859" s="15"/>
      <c r="J859" s="15"/>
      <c r="K859" s="15"/>
      <c r="L859" s="15"/>
      <c r="M859" s="15"/>
    </row>
    <row r="860" spans="5:13">
      <c r="E860" s="15"/>
      <c r="F860" s="15"/>
      <c r="G860" s="15"/>
      <c r="H860" s="15"/>
      <c r="I860" s="15"/>
      <c r="J860" s="15"/>
      <c r="K860" s="15"/>
      <c r="L860" s="15"/>
      <c r="M860" s="15"/>
    </row>
    <row r="861" spans="5:13">
      <c r="E861" s="15"/>
      <c r="F861" s="15"/>
      <c r="G861" s="15"/>
      <c r="H861" s="15"/>
      <c r="I861" s="15"/>
      <c r="J861" s="15"/>
      <c r="K861" s="15"/>
      <c r="L861" s="15"/>
      <c r="M861" s="15"/>
    </row>
    <row r="862" spans="5:13">
      <c r="E862" s="15"/>
      <c r="F862" s="15"/>
      <c r="G862" s="15"/>
      <c r="H862" s="15"/>
      <c r="I862" s="15"/>
      <c r="J862" s="15"/>
      <c r="K862" s="15"/>
      <c r="L862" s="15"/>
      <c r="M862" s="15"/>
    </row>
    <row r="863" spans="5:13">
      <c r="E863" s="15"/>
      <c r="F863" s="15"/>
      <c r="G863" s="15"/>
      <c r="H863" s="15"/>
      <c r="I863" s="15"/>
      <c r="J863" s="15"/>
      <c r="K863" s="15"/>
      <c r="L863" s="15"/>
      <c r="M863" s="15"/>
    </row>
    <row r="864" spans="5:13">
      <c r="E864" s="15"/>
      <c r="F864" s="15"/>
      <c r="G864" s="15"/>
      <c r="H864" s="15"/>
      <c r="I864" s="15"/>
      <c r="J864" s="15"/>
      <c r="K864" s="15"/>
      <c r="L864" s="15"/>
      <c r="M864" s="15"/>
    </row>
    <row r="865" spans="5:13">
      <c r="E865" s="15"/>
      <c r="F865" s="15"/>
      <c r="G865" s="15"/>
      <c r="H865" s="15"/>
      <c r="I865" s="15"/>
      <c r="J865" s="15"/>
      <c r="K865" s="15"/>
      <c r="L865" s="15"/>
      <c r="M865" s="15"/>
    </row>
    <row r="866" spans="5:13">
      <c r="E866" s="15"/>
      <c r="F866" s="15"/>
      <c r="G866" s="15"/>
      <c r="H866" s="15"/>
      <c r="I866" s="15"/>
      <c r="J866" s="15"/>
      <c r="K866" s="15"/>
      <c r="L866" s="15"/>
      <c r="M866" s="15"/>
    </row>
    <row r="867" spans="5:13">
      <c r="E867" s="15"/>
      <c r="F867" s="15"/>
      <c r="G867" s="15"/>
      <c r="H867" s="15"/>
      <c r="I867" s="15"/>
      <c r="J867" s="15"/>
      <c r="K867" s="15"/>
      <c r="L867" s="15"/>
      <c r="M867" s="15"/>
    </row>
    <row r="868" spans="5:13">
      <c r="E868" s="15"/>
      <c r="F868" s="15"/>
      <c r="G868" s="15"/>
      <c r="H868" s="15"/>
      <c r="I868" s="15"/>
      <c r="J868" s="15"/>
      <c r="K868" s="15"/>
      <c r="L868" s="15"/>
      <c r="M868" s="15"/>
    </row>
    <row r="869" spans="5:13">
      <c r="E869" s="15"/>
      <c r="F869" s="15"/>
      <c r="G869" s="15"/>
      <c r="H869" s="15"/>
      <c r="I869" s="15"/>
      <c r="J869" s="15"/>
      <c r="K869" s="15"/>
      <c r="L869" s="15"/>
      <c r="M869" s="15"/>
    </row>
    <row r="870" spans="5:13">
      <c r="E870" s="15"/>
      <c r="F870" s="15"/>
      <c r="G870" s="15"/>
      <c r="H870" s="15"/>
      <c r="I870" s="15"/>
      <c r="J870" s="15"/>
      <c r="K870" s="15"/>
      <c r="L870" s="15"/>
      <c r="M870" s="15"/>
    </row>
    <row r="871" spans="5:13">
      <c r="E871" s="15"/>
      <c r="F871" s="15"/>
      <c r="G871" s="15"/>
      <c r="H871" s="15"/>
      <c r="I871" s="15"/>
      <c r="J871" s="15"/>
      <c r="K871" s="15"/>
      <c r="L871" s="15"/>
      <c r="M871" s="15"/>
    </row>
    <row r="872" spans="5:13">
      <c r="E872" s="15"/>
      <c r="F872" s="15"/>
      <c r="G872" s="15"/>
      <c r="H872" s="15"/>
      <c r="I872" s="15"/>
      <c r="J872" s="15"/>
      <c r="K872" s="15"/>
      <c r="L872" s="15"/>
      <c r="M872" s="15"/>
    </row>
    <row r="873" spans="5:13">
      <c r="E873" s="15"/>
      <c r="F873" s="15"/>
      <c r="G873" s="15"/>
      <c r="H873" s="15"/>
      <c r="I873" s="15"/>
      <c r="J873" s="15"/>
      <c r="K873" s="15"/>
      <c r="L873" s="15"/>
      <c r="M873" s="15"/>
    </row>
    <row r="874" spans="5:13">
      <c r="E874" s="15"/>
      <c r="F874" s="15"/>
      <c r="G874" s="15"/>
      <c r="H874" s="15"/>
      <c r="I874" s="15"/>
      <c r="J874" s="15"/>
      <c r="K874" s="15"/>
      <c r="L874" s="15"/>
      <c r="M874" s="15"/>
    </row>
    <row r="875" spans="5:13">
      <c r="E875" s="15"/>
      <c r="F875" s="15"/>
      <c r="G875" s="15"/>
      <c r="H875" s="15"/>
      <c r="I875" s="15"/>
      <c r="J875" s="15"/>
      <c r="K875" s="15"/>
      <c r="L875" s="15"/>
      <c r="M875" s="15"/>
    </row>
    <row r="876" spans="5:13">
      <c r="E876" s="15"/>
      <c r="F876" s="15"/>
      <c r="G876" s="15"/>
      <c r="H876" s="15"/>
      <c r="I876" s="15"/>
      <c r="J876" s="15"/>
      <c r="K876" s="15"/>
      <c r="L876" s="15"/>
      <c r="M876" s="15"/>
    </row>
    <row r="877" spans="5:13">
      <c r="E877" s="15"/>
      <c r="F877" s="15"/>
      <c r="G877" s="15"/>
      <c r="H877" s="15"/>
      <c r="I877" s="15"/>
      <c r="J877" s="15"/>
      <c r="K877" s="15"/>
      <c r="L877" s="15"/>
      <c r="M877" s="15"/>
    </row>
    <row r="878" spans="5:13">
      <c r="E878" s="15"/>
      <c r="F878" s="15"/>
      <c r="G878" s="15"/>
      <c r="H878" s="15"/>
      <c r="I878" s="15"/>
      <c r="J878" s="15"/>
      <c r="K878" s="15"/>
      <c r="L878" s="15"/>
      <c r="M878" s="15"/>
    </row>
    <row r="879" spans="5:13">
      <c r="E879" s="15"/>
      <c r="F879" s="15"/>
      <c r="G879" s="15"/>
      <c r="H879" s="15"/>
      <c r="I879" s="15"/>
      <c r="J879" s="15"/>
      <c r="K879" s="15"/>
      <c r="L879" s="15"/>
      <c r="M879" s="15"/>
    </row>
    <row r="880" spans="5:13">
      <c r="E880" s="15"/>
      <c r="F880" s="15"/>
      <c r="G880" s="15"/>
      <c r="H880" s="15"/>
      <c r="I880" s="15"/>
      <c r="J880" s="15"/>
      <c r="K880" s="15"/>
      <c r="L880" s="15"/>
      <c r="M880" s="15"/>
    </row>
    <row r="881" spans="5:13">
      <c r="E881" s="15"/>
      <c r="F881" s="15"/>
      <c r="G881" s="15"/>
      <c r="H881" s="15"/>
      <c r="I881" s="15"/>
      <c r="J881" s="15"/>
      <c r="K881" s="15"/>
      <c r="L881" s="15"/>
      <c r="M881" s="15"/>
    </row>
    <row r="882" spans="5:13">
      <c r="E882" s="15"/>
      <c r="F882" s="15"/>
      <c r="G882" s="15"/>
      <c r="H882" s="15"/>
      <c r="I882" s="15"/>
      <c r="J882" s="15"/>
      <c r="K882" s="15"/>
      <c r="L882" s="15"/>
      <c r="M882" s="15"/>
    </row>
    <row r="883" spans="5:13">
      <c r="E883" s="15"/>
      <c r="F883" s="15"/>
      <c r="G883" s="15"/>
      <c r="H883" s="15"/>
      <c r="I883" s="15"/>
      <c r="J883" s="15"/>
      <c r="K883" s="15"/>
      <c r="L883" s="15"/>
      <c r="M883" s="15"/>
    </row>
    <row r="884" spans="5:13">
      <c r="E884" s="15"/>
      <c r="F884" s="15"/>
      <c r="G884" s="15"/>
      <c r="H884" s="15"/>
      <c r="I884" s="15"/>
      <c r="J884" s="15"/>
      <c r="K884" s="15"/>
      <c r="L884" s="15"/>
      <c r="M884" s="15"/>
    </row>
    <row r="885" spans="5:13">
      <c r="E885" s="15"/>
      <c r="F885" s="15"/>
      <c r="G885" s="15"/>
      <c r="H885" s="15"/>
      <c r="I885" s="15"/>
      <c r="J885" s="15"/>
      <c r="K885" s="15"/>
      <c r="L885" s="15"/>
      <c r="M885" s="15"/>
    </row>
    <row r="886" spans="5:13">
      <c r="E886" s="15"/>
      <c r="F886" s="15"/>
      <c r="G886" s="15"/>
      <c r="H886" s="15"/>
      <c r="I886" s="15"/>
      <c r="J886" s="15"/>
      <c r="K886" s="15"/>
      <c r="L886" s="15"/>
      <c r="M886" s="15"/>
    </row>
    <row r="887" spans="5:13">
      <c r="E887" s="15"/>
      <c r="F887" s="15"/>
      <c r="G887" s="15"/>
      <c r="H887" s="15"/>
      <c r="I887" s="15"/>
      <c r="J887" s="15"/>
      <c r="K887" s="15"/>
      <c r="L887" s="15"/>
      <c r="M887" s="15"/>
    </row>
    <row r="888" spans="5:13">
      <c r="E888" s="15"/>
      <c r="F888" s="15"/>
      <c r="G888" s="15"/>
      <c r="H888" s="15"/>
      <c r="I888" s="15"/>
      <c r="J888" s="15"/>
      <c r="K888" s="15"/>
      <c r="L888" s="15"/>
      <c r="M888" s="15"/>
    </row>
    <row r="889" spans="5:13">
      <c r="E889" s="15"/>
      <c r="F889" s="15"/>
      <c r="G889" s="15"/>
      <c r="H889" s="15"/>
      <c r="I889" s="15"/>
      <c r="J889" s="15"/>
      <c r="K889" s="15"/>
      <c r="L889" s="15"/>
      <c r="M889" s="15"/>
    </row>
    <row r="890" spans="5:13">
      <c r="E890" s="15"/>
      <c r="F890" s="15"/>
      <c r="G890" s="15"/>
      <c r="H890" s="15"/>
      <c r="I890" s="15"/>
      <c r="J890" s="15"/>
      <c r="K890" s="15"/>
      <c r="L890" s="15"/>
      <c r="M890" s="15"/>
    </row>
    <row r="891" spans="5:13">
      <c r="E891" s="15"/>
      <c r="F891" s="15"/>
      <c r="G891" s="15"/>
      <c r="H891" s="15"/>
      <c r="I891" s="15"/>
      <c r="J891" s="15"/>
      <c r="K891" s="15"/>
      <c r="L891" s="15"/>
      <c r="M891" s="15"/>
    </row>
    <row r="892" spans="5:13">
      <c r="E892" s="15"/>
      <c r="F892" s="15"/>
      <c r="G892" s="15"/>
      <c r="H892" s="15"/>
      <c r="I892" s="15"/>
      <c r="J892" s="15"/>
      <c r="K892" s="15"/>
      <c r="L892" s="15"/>
      <c r="M892" s="15"/>
    </row>
    <row r="893" spans="5:13">
      <c r="E893" s="15"/>
      <c r="F893" s="15"/>
      <c r="G893" s="15"/>
      <c r="H893" s="15"/>
      <c r="I893" s="15"/>
      <c r="J893" s="15"/>
      <c r="K893" s="15"/>
      <c r="L893" s="15"/>
      <c r="M893" s="15"/>
    </row>
    <row r="894" spans="5:13">
      <c r="E894" s="15"/>
      <c r="F894" s="15"/>
      <c r="G894" s="15"/>
      <c r="H894" s="15"/>
      <c r="I894" s="15"/>
      <c r="J894" s="15"/>
      <c r="K894" s="15"/>
      <c r="L894" s="15"/>
      <c r="M894" s="15"/>
    </row>
    <row r="895" spans="5:13">
      <c r="E895" s="15"/>
      <c r="F895" s="15"/>
      <c r="G895" s="15"/>
      <c r="H895" s="15"/>
      <c r="I895" s="15"/>
      <c r="J895" s="15"/>
      <c r="K895" s="15"/>
      <c r="L895" s="15"/>
      <c r="M895" s="15"/>
    </row>
    <row r="896" spans="5:13">
      <c r="E896" s="15"/>
      <c r="F896" s="15"/>
      <c r="G896" s="15"/>
      <c r="H896" s="15"/>
      <c r="I896" s="15"/>
      <c r="J896" s="15"/>
      <c r="K896" s="15"/>
      <c r="L896" s="15"/>
      <c r="M896" s="15"/>
    </row>
    <row r="897" spans="5:13">
      <c r="E897" s="15"/>
      <c r="F897" s="15"/>
      <c r="G897" s="15"/>
      <c r="H897" s="15"/>
      <c r="I897" s="15"/>
      <c r="J897" s="15"/>
      <c r="K897" s="15"/>
      <c r="L897" s="15"/>
      <c r="M897" s="15"/>
    </row>
    <row r="898" spans="5:13">
      <c r="E898" s="15"/>
      <c r="F898" s="15"/>
      <c r="G898" s="15"/>
      <c r="H898" s="15"/>
      <c r="I898" s="15"/>
      <c r="J898" s="15"/>
      <c r="K898" s="15"/>
      <c r="L898" s="15"/>
      <c r="M898" s="15"/>
    </row>
    <row r="899" spans="5:13">
      <c r="E899" s="15"/>
      <c r="F899" s="15"/>
      <c r="G899" s="15"/>
      <c r="H899" s="15"/>
      <c r="I899" s="15"/>
      <c r="J899" s="15"/>
      <c r="K899" s="15"/>
      <c r="L899" s="15"/>
      <c r="M899" s="15"/>
    </row>
    <row r="900" spans="5:13">
      <c r="E900" s="15"/>
      <c r="F900" s="15"/>
      <c r="G900" s="15"/>
      <c r="H900" s="15"/>
      <c r="I900" s="15"/>
      <c r="J900" s="15"/>
      <c r="K900" s="15"/>
      <c r="L900" s="15"/>
      <c r="M900" s="15"/>
    </row>
    <row r="901" spans="5:13">
      <c r="E901" s="15"/>
      <c r="F901" s="15"/>
      <c r="G901" s="15"/>
      <c r="H901" s="15"/>
      <c r="I901" s="15"/>
      <c r="J901" s="15"/>
      <c r="K901" s="15"/>
      <c r="L901" s="15"/>
      <c r="M901" s="15"/>
    </row>
    <row r="902" spans="5:13">
      <c r="E902" s="15"/>
      <c r="F902" s="15"/>
      <c r="G902" s="15"/>
      <c r="H902" s="15"/>
      <c r="I902" s="15"/>
      <c r="J902" s="15"/>
      <c r="K902" s="15"/>
      <c r="L902" s="15"/>
      <c r="M902" s="15"/>
    </row>
    <row r="903" spans="5:13">
      <c r="E903" s="15"/>
      <c r="F903" s="15"/>
      <c r="G903" s="15"/>
      <c r="H903" s="15"/>
      <c r="I903" s="15"/>
      <c r="J903" s="15"/>
      <c r="K903" s="15"/>
      <c r="L903" s="15"/>
      <c r="M903" s="15"/>
    </row>
    <row r="904" spans="5:13">
      <c r="E904" s="15"/>
      <c r="F904" s="15"/>
      <c r="G904" s="15"/>
      <c r="H904" s="15"/>
      <c r="I904" s="15"/>
      <c r="J904" s="15"/>
      <c r="K904" s="15"/>
      <c r="L904" s="15"/>
      <c r="M904" s="15"/>
    </row>
    <row r="905" spans="5:13">
      <c r="E905" s="15"/>
      <c r="F905" s="15"/>
      <c r="G905" s="15"/>
      <c r="H905" s="15"/>
      <c r="I905" s="15"/>
      <c r="J905" s="15"/>
      <c r="K905" s="15"/>
      <c r="L905" s="15"/>
      <c r="M905" s="15"/>
    </row>
    <row r="906" spans="5:13">
      <c r="E906" s="15"/>
      <c r="F906" s="15"/>
      <c r="G906" s="15"/>
      <c r="H906" s="15"/>
      <c r="I906" s="15"/>
      <c r="J906" s="15"/>
      <c r="K906" s="15"/>
      <c r="L906" s="15"/>
      <c r="M906" s="15"/>
    </row>
    <row r="907" spans="5:13">
      <c r="E907" s="15"/>
      <c r="F907" s="15"/>
      <c r="G907" s="15"/>
      <c r="H907" s="15"/>
      <c r="I907" s="15"/>
      <c r="J907" s="15"/>
      <c r="K907" s="15"/>
      <c r="L907" s="15"/>
      <c r="M907" s="15"/>
    </row>
    <row r="908" spans="5:13">
      <c r="E908" s="15"/>
      <c r="F908" s="15"/>
      <c r="G908" s="15"/>
      <c r="H908" s="15"/>
      <c r="I908" s="15"/>
      <c r="J908" s="15"/>
      <c r="K908" s="15"/>
      <c r="L908" s="15"/>
      <c r="M908" s="15"/>
    </row>
    <row r="909" spans="5:13">
      <c r="E909" s="15"/>
      <c r="F909" s="15"/>
      <c r="G909" s="15"/>
      <c r="H909" s="15"/>
      <c r="I909" s="15"/>
      <c r="J909" s="15"/>
      <c r="K909" s="15"/>
      <c r="L909" s="15"/>
      <c r="M909" s="15"/>
    </row>
    <row r="910" spans="5:13">
      <c r="E910" s="15"/>
      <c r="F910" s="15"/>
      <c r="G910" s="15"/>
      <c r="H910" s="15"/>
      <c r="I910" s="15"/>
      <c r="J910" s="15"/>
      <c r="K910" s="15"/>
      <c r="L910" s="15"/>
      <c r="M910" s="15"/>
    </row>
    <row r="911" spans="5:13">
      <c r="E911" s="15"/>
      <c r="F911" s="15"/>
      <c r="G911" s="15"/>
      <c r="H911" s="15"/>
      <c r="I911" s="15"/>
      <c r="J911" s="15"/>
      <c r="K911" s="15"/>
      <c r="L911" s="15"/>
      <c r="M911" s="15"/>
    </row>
    <row r="912" spans="5:13">
      <c r="E912" s="15"/>
      <c r="F912" s="15"/>
      <c r="G912" s="15"/>
      <c r="H912" s="15"/>
      <c r="I912" s="15"/>
      <c r="J912" s="15"/>
      <c r="K912" s="15"/>
      <c r="L912" s="15"/>
      <c r="M912" s="15"/>
    </row>
    <row r="913" spans="5:13">
      <c r="E913" s="15"/>
      <c r="F913" s="15"/>
      <c r="G913" s="15"/>
      <c r="H913" s="15"/>
      <c r="I913" s="15"/>
      <c r="J913" s="15"/>
      <c r="K913" s="15"/>
      <c r="L913" s="15"/>
      <c r="M913" s="15"/>
    </row>
    <row r="914" spans="5:13">
      <c r="E914" s="15"/>
      <c r="F914" s="15"/>
      <c r="G914" s="15"/>
      <c r="H914" s="15"/>
      <c r="I914" s="15"/>
      <c r="J914" s="15"/>
      <c r="K914" s="15"/>
      <c r="L914" s="15"/>
      <c r="M914" s="15"/>
    </row>
    <row r="915" spans="5:13">
      <c r="E915" s="15"/>
      <c r="F915" s="15"/>
      <c r="G915" s="15"/>
      <c r="H915" s="15"/>
      <c r="I915" s="15"/>
      <c r="J915" s="15"/>
      <c r="K915" s="15"/>
      <c r="L915" s="15"/>
      <c r="M915" s="15"/>
    </row>
    <row r="916" spans="5:13">
      <c r="E916" s="15"/>
      <c r="F916" s="15"/>
      <c r="G916" s="15"/>
      <c r="H916" s="15"/>
      <c r="I916" s="15"/>
      <c r="J916" s="15"/>
      <c r="K916" s="15"/>
      <c r="L916" s="15"/>
      <c r="M916" s="15"/>
    </row>
    <row r="917" spans="5:13">
      <c r="E917" s="15"/>
      <c r="F917" s="15"/>
      <c r="G917" s="15"/>
      <c r="H917" s="15"/>
      <c r="I917" s="15"/>
      <c r="J917" s="15"/>
      <c r="K917" s="15"/>
      <c r="L917" s="15"/>
      <c r="M917" s="15"/>
    </row>
    <row r="918" spans="5:13">
      <c r="E918" s="15"/>
      <c r="F918" s="15"/>
      <c r="G918" s="15"/>
      <c r="H918" s="15"/>
      <c r="I918" s="15"/>
      <c r="J918" s="15"/>
      <c r="K918" s="15"/>
      <c r="L918" s="15"/>
      <c r="M918" s="15"/>
    </row>
    <row r="919" spans="5:13">
      <c r="E919" s="15"/>
      <c r="F919" s="15"/>
      <c r="G919" s="15"/>
      <c r="H919" s="15"/>
      <c r="I919" s="15"/>
      <c r="J919" s="15"/>
      <c r="K919" s="15"/>
      <c r="L919" s="15"/>
      <c r="M919" s="15"/>
    </row>
    <row r="920" spans="5:13">
      <c r="E920" s="15"/>
      <c r="F920" s="15"/>
      <c r="G920" s="15"/>
      <c r="H920" s="15"/>
      <c r="I920" s="15"/>
      <c r="J920" s="15"/>
      <c r="K920" s="15"/>
      <c r="L920" s="15"/>
      <c r="M920" s="15"/>
    </row>
    <row r="921" spans="5:13">
      <c r="E921" s="15"/>
      <c r="F921" s="15"/>
      <c r="G921" s="15"/>
      <c r="H921" s="15"/>
      <c r="I921" s="15"/>
      <c r="J921" s="15"/>
      <c r="K921" s="15"/>
      <c r="L921" s="15"/>
      <c r="M921" s="15"/>
    </row>
    <row r="922" spans="5:13">
      <c r="E922" s="15"/>
      <c r="F922" s="15"/>
      <c r="G922" s="15"/>
      <c r="H922" s="15"/>
      <c r="I922" s="15"/>
      <c r="J922" s="15"/>
      <c r="K922" s="15"/>
      <c r="L922" s="15"/>
      <c r="M922" s="15"/>
    </row>
    <row r="923" spans="5:13">
      <c r="E923" s="15"/>
      <c r="F923" s="15"/>
      <c r="G923" s="15"/>
      <c r="H923" s="15"/>
      <c r="I923" s="15"/>
      <c r="J923" s="15"/>
      <c r="K923" s="15"/>
      <c r="L923" s="15"/>
      <c r="M923" s="15"/>
    </row>
    <row r="924" spans="5:13">
      <c r="E924" s="15"/>
      <c r="F924" s="15"/>
      <c r="G924" s="15"/>
      <c r="H924" s="15"/>
      <c r="I924" s="15"/>
      <c r="J924" s="15"/>
      <c r="K924" s="15"/>
      <c r="L924" s="15"/>
      <c r="M924" s="15"/>
    </row>
    <row r="925" spans="5:13">
      <c r="E925" s="15"/>
      <c r="F925" s="15"/>
      <c r="G925" s="15"/>
      <c r="H925" s="15"/>
      <c r="I925" s="15"/>
      <c r="J925" s="15"/>
      <c r="K925" s="15"/>
      <c r="L925" s="15"/>
      <c r="M925" s="15"/>
    </row>
    <row r="926" spans="5:13">
      <c r="E926" s="15"/>
      <c r="F926" s="15"/>
      <c r="G926" s="15"/>
      <c r="H926" s="15"/>
      <c r="I926" s="15"/>
      <c r="J926" s="15"/>
      <c r="K926" s="15"/>
      <c r="L926" s="15"/>
      <c r="M926" s="15"/>
    </row>
    <row r="927" spans="5:13">
      <c r="E927" s="15"/>
      <c r="F927" s="15"/>
      <c r="G927" s="15"/>
      <c r="H927" s="15"/>
      <c r="I927" s="15"/>
      <c r="J927" s="15"/>
      <c r="K927" s="15"/>
      <c r="L927" s="15"/>
      <c r="M927" s="15"/>
    </row>
    <row r="928" spans="5:13">
      <c r="E928" s="15"/>
      <c r="F928" s="15"/>
      <c r="G928" s="15"/>
      <c r="H928" s="15"/>
      <c r="I928" s="15"/>
      <c r="J928" s="15"/>
      <c r="K928" s="15"/>
      <c r="L928" s="15"/>
      <c r="M928" s="15"/>
    </row>
    <row r="929" spans="5:13">
      <c r="E929" s="15"/>
      <c r="F929" s="15"/>
      <c r="G929" s="15"/>
      <c r="H929" s="15"/>
      <c r="I929" s="15"/>
      <c r="J929" s="15"/>
      <c r="K929" s="15"/>
      <c r="L929" s="15"/>
      <c r="M929" s="15"/>
    </row>
    <row r="930" spans="5:13">
      <c r="E930" s="15"/>
      <c r="F930" s="15"/>
      <c r="G930" s="15"/>
      <c r="H930" s="15"/>
      <c r="I930" s="15"/>
      <c r="J930" s="15"/>
      <c r="K930" s="15"/>
      <c r="L930" s="15"/>
      <c r="M930" s="15"/>
    </row>
    <row r="931" spans="5:13">
      <c r="E931" s="15"/>
      <c r="F931" s="15"/>
      <c r="G931" s="15"/>
      <c r="H931" s="15"/>
      <c r="I931" s="15"/>
      <c r="J931" s="15"/>
      <c r="K931" s="15"/>
      <c r="L931" s="15"/>
      <c r="M931" s="15"/>
    </row>
    <row r="932" spans="5:13">
      <c r="E932" s="15"/>
      <c r="F932" s="15"/>
      <c r="G932" s="15"/>
      <c r="H932" s="15"/>
      <c r="I932" s="15"/>
      <c r="J932" s="15"/>
      <c r="K932" s="15"/>
      <c r="L932" s="15"/>
      <c r="M932" s="15"/>
    </row>
    <row r="933" spans="5:13">
      <c r="E933" s="15"/>
      <c r="F933" s="15"/>
      <c r="G933" s="15"/>
      <c r="H933" s="15"/>
      <c r="I933" s="15"/>
      <c r="J933" s="15"/>
      <c r="K933" s="15"/>
      <c r="L933" s="15"/>
      <c r="M933" s="15"/>
    </row>
    <row r="934" spans="5:13">
      <c r="E934" s="15"/>
      <c r="F934" s="15"/>
      <c r="G934" s="15"/>
      <c r="H934" s="15"/>
      <c r="I934" s="15"/>
      <c r="J934" s="15"/>
      <c r="K934" s="15"/>
      <c r="L934" s="15"/>
      <c r="M934" s="15"/>
    </row>
    <row r="935" spans="5:13">
      <c r="E935" s="15"/>
      <c r="F935" s="15"/>
      <c r="G935" s="15"/>
      <c r="H935" s="15"/>
      <c r="I935" s="15"/>
      <c r="J935" s="15"/>
      <c r="K935" s="15"/>
      <c r="L935" s="15"/>
      <c r="M935" s="15"/>
    </row>
    <row r="936" spans="5:13">
      <c r="E936" s="15"/>
      <c r="F936" s="15"/>
      <c r="G936" s="15"/>
      <c r="H936" s="15"/>
      <c r="I936" s="15"/>
      <c r="J936" s="15"/>
      <c r="K936" s="15"/>
      <c r="L936" s="15"/>
      <c r="M936" s="15"/>
    </row>
    <row r="937" spans="5:13">
      <c r="E937" s="15"/>
      <c r="F937" s="15"/>
      <c r="G937" s="15"/>
      <c r="H937" s="15"/>
      <c r="I937" s="15"/>
      <c r="J937" s="15"/>
      <c r="K937" s="15"/>
      <c r="L937" s="15"/>
      <c r="M937" s="15"/>
    </row>
    <row r="938" spans="5:13">
      <c r="E938" s="15"/>
      <c r="F938" s="15"/>
      <c r="G938" s="15"/>
      <c r="H938" s="15"/>
      <c r="I938" s="15"/>
      <c r="J938" s="15"/>
      <c r="K938" s="15"/>
      <c r="L938" s="15"/>
      <c r="M938" s="15"/>
    </row>
    <row r="939" spans="5:13">
      <c r="E939" s="15"/>
      <c r="F939" s="15"/>
      <c r="G939" s="15"/>
      <c r="H939" s="15"/>
      <c r="I939" s="15"/>
      <c r="J939" s="15"/>
      <c r="K939" s="15"/>
      <c r="L939" s="15"/>
      <c r="M939" s="15"/>
    </row>
    <row r="940" spans="5:13">
      <c r="E940" s="15"/>
      <c r="F940" s="15"/>
      <c r="G940" s="15"/>
      <c r="H940" s="15"/>
      <c r="I940" s="15"/>
      <c r="J940" s="15"/>
      <c r="K940" s="15"/>
      <c r="L940" s="15"/>
      <c r="M940" s="15"/>
    </row>
    <row r="941" spans="5:13">
      <c r="E941" s="15"/>
      <c r="F941" s="15"/>
      <c r="G941" s="15"/>
      <c r="H941" s="15"/>
      <c r="I941" s="15"/>
      <c r="J941" s="15"/>
      <c r="K941" s="15"/>
      <c r="L941" s="15"/>
      <c r="M941" s="15"/>
    </row>
    <row r="942" spans="5:13">
      <c r="E942" s="15"/>
      <c r="F942" s="15"/>
      <c r="G942" s="15"/>
      <c r="H942" s="15"/>
      <c r="I942" s="15"/>
      <c r="J942" s="15"/>
      <c r="K942" s="15"/>
      <c r="L942" s="15"/>
      <c r="M942" s="15"/>
    </row>
    <row r="943" spans="5:13">
      <c r="E943" s="15"/>
      <c r="F943" s="15"/>
      <c r="G943" s="15"/>
      <c r="H943" s="15"/>
      <c r="I943" s="15"/>
      <c r="J943" s="15"/>
      <c r="K943" s="15"/>
      <c r="L943" s="15"/>
      <c r="M943" s="15"/>
    </row>
    <row r="944" spans="5:13">
      <c r="E944" s="15"/>
      <c r="F944" s="15"/>
      <c r="G944" s="15"/>
      <c r="H944" s="15"/>
      <c r="I944" s="15"/>
      <c r="J944" s="15"/>
      <c r="K944" s="15"/>
      <c r="L944" s="15"/>
      <c r="M944" s="15"/>
    </row>
    <row r="945" spans="5:13">
      <c r="E945" s="15"/>
      <c r="F945" s="15"/>
      <c r="G945" s="15"/>
      <c r="H945" s="15"/>
      <c r="I945" s="15"/>
      <c r="J945" s="15"/>
      <c r="K945" s="15"/>
      <c r="L945" s="15"/>
      <c r="M945" s="15"/>
    </row>
    <row r="946" spans="5:13">
      <c r="E946" s="15"/>
      <c r="F946" s="15"/>
      <c r="G946" s="15"/>
      <c r="H946" s="15"/>
      <c r="I946" s="15"/>
      <c r="J946" s="15"/>
      <c r="K946" s="15"/>
      <c r="L946" s="15"/>
      <c r="M946" s="15"/>
    </row>
    <row r="947" spans="5:13">
      <c r="E947" s="15"/>
      <c r="F947" s="15"/>
      <c r="G947" s="15"/>
      <c r="H947" s="15"/>
      <c r="I947" s="15"/>
      <c r="J947" s="15"/>
      <c r="K947" s="15"/>
      <c r="L947" s="15"/>
      <c r="M947" s="15"/>
    </row>
    <row r="948" spans="5:13">
      <c r="E948" s="15"/>
      <c r="F948" s="15"/>
      <c r="G948" s="15"/>
      <c r="H948" s="15"/>
      <c r="I948" s="15"/>
      <c r="J948" s="15"/>
      <c r="K948" s="15"/>
      <c r="L948" s="15"/>
      <c r="M948" s="15"/>
    </row>
    <row r="949" spans="5:13">
      <c r="E949" s="15"/>
      <c r="F949" s="15"/>
      <c r="G949" s="15"/>
      <c r="H949" s="15"/>
      <c r="I949" s="15"/>
      <c r="J949" s="15"/>
      <c r="K949" s="15"/>
      <c r="L949" s="15"/>
      <c r="M949" s="15"/>
    </row>
    <row r="950" spans="5:13">
      <c r="E950" s="15"/>
      <c r="F950" s="15"/>
      <c r="G950" s="15"/>
      <c r="H950" s="15"/>
      <c r="I950" s="15"/>
      <c r="J950" s="15"/>
      <c r="K950" s="15"/>
      <c r="L950" s="15"/>
      <c r="M950" s="15"/>
    </row>
    <row r="951" spans="5:13">
      <c r="E951" s="15"/>
      <c r="F951" s="15"/>
      <c r="G951" s="15"/>
      <c r="H951" s="15"/>
      <c r="I951" s="15"/>
      <c r="J951" s="15"/>
      <c r="K951" s="15"/>
      <c r="L951" s="15"/>
      <c r="M951" s="15"/>
    </row>
    <row r="952" spans="5:13">
      <c r="E952" s="15"/>
      <c r="F952" s="15"/>
      <c r="G952" s="15"/>
      <c r="H952" s="15"/>
      <c r="I952" s="15"/>
      <c r="J952" s="15"/>
      <c r="K952" s="15"/>
      <c r="L952" s="15"/>
      <c r="M952" s="15"/>
    </row>
    <row r="953" spans="5:13">
      <c r="E953" s="15"/>
      <c r="F953" s="15"/>
      <c r="G953" s="15"/>
      <c r="H953" s="15"/>
      <c r="I953" s="15"/>
      <c r="J953" s="15"/>
      <c r="K953" s="15"/>
      <c r="L953" s="15"/>
      <c r="M953" s="15"/>
    </row>
    <row r="954" spans="5:13">
      <c r="E954" s="15"/>
      <c r="F954" s="15"/>
      <c r="G954" s="15"/>
      <c r="H954" s="15"/>
      <c r="I954" s="15"/>
      <c r="J954" s="15"/>
      <c r="K954" s="15"/>
      <c r="L954" s="15"/>
      <c r="M954" s="15"/>
    </row>
    <row r="955" spans="5:13">
      <c r="E955" s="15"/>
      <c r="F955" s="15"/>
      <c r="G955" s="15"/>
      <c r="H955" s="15"/>
      <c r="I955" s="15"/>
      <c r="J955" s="15"/>
      <c r="K955" s="15"/>
      <c r="L955" s="15"/>
      <c r="M955" s="15"/>
    </row>
    <row r="956" spans="5:13">
      <c r="E956" s="15"/>
      <c r="F956" s="15"/>
      <c r="G956" s="15"/>
      <c r="H956" s="15"/>
      <c r="I956" s="15"/>
      <c r="J956" s="15"/>
      <c r="K956" s="15"/>
      <c r="L956" s="15"/>
      <c r="M956" s="15"/>
    </row>
    <row r="957" spans="5:13">
      <c r="E957" s="15"/>
      <c r="F957" s="15"/>
      <c r="G957" s="15"/>
      <c r="H957" s="15"/>
      <c r="I957" s="15"/>
      <c r="J957" s="15"/>
      <c r="K957" s="15"/>
      <c r="L957" s="15"/>
      <c r="M957" s="15"/>
    </row>
    <row r="958" spans="5:13">
      <c r="E958" s="15"/>
      <c r="F958" s="15"/>
      <c r="G958" s="15"/>
      <c r="H958" s="15"/>
      <c r="I958" s="15"/>
      <c r="J958" s="15"/>
      <c r="K958" s="15"/>
      <c r="L958" s="15"/>
      <c r="M958" s="15"/>
    </row>
    <row r="959" spans="5:13">
      <c r="E959" s="15"/>
      <c r="F959" s="15"/>
      <c r="G959" s="15"/>
      <c r="H959" s="15"/>
      <c r="I959" s="15"/>
      <c r="J959" s="15"/>
      <c r="K959" s="15"/>
      <c r="L959" s="15"/>
      <c r="M959" s="15"/>
    </row>
    <row r="960" spans="5:13">
      <c r="E960" s="15"/>
      <c r="F960" s="15"/>
      <c r="G960" s="15"/>
      <c r="H960" s="15"/>
      <c r="I960" s="15"/>
      <c r="J960" s="15"/>
      <c r="K960" s="15"/>
      <c r="L960" s="15"/>
      <c r="M960" s="15"/>
    </row>
    <row r="961" spans="5:13">
      <c r="E961" s="15"/>
      <c r="F961" s="15"/>
      <c r="G961" s="15"/>
      <c r="H961" s="15"/>
      <c r="I961" s="15"/>
      <c r="J961" s="15"/>
      <c r="K961" s="15"/>
      <c r="L961" s="15"/>
      <c r="M961" s="15"/>
    </row>
    <row r="962" spans="5:13">
      <c r="E962" s="15"/>
      <c r="F962" s="15"/>
      <c r="G962" s="15"/>
      <c r="H962" s="15"/>
      <c r="I962" s="15"/>
      <c r="J962" s="15"/>
      <c r="K962" s="15"/>
      <c r="L962" s="15"/>
      <c r="M962" s="15"/>
    </row>
    <row r="963" spans="5:13">
      <c r="E963" s="15"/>
      <c r="F963" s="15"/>
      <c r="G963" s="15"/>
      <c r="H963" s="15"/>
      <c r="I963" s="15"/>
      <c r="J963" s="15"/>
      <c r="K963" s="15"/>
      <c r="L963" s="15"/>
      <c r="M963" s="15"/>
    </row>
    <row r="964" spans="5:13">
      <c r="E964" s="15"/>
      <c r="F964" s="15"/>
      <c r="G964" s="15"/>
      <c r="H964" s="15"/>
      <c r="I964" s="15"/>
      <c r="J964" s="15"/>
      <c r="K964" s="15"/>
      <c r="L964" s="15"/>
      <c r="M964" s="15"/>
    </row>
    <row r="965" spans="5:13">
      <c r="E965" s="15"/>
      <c r="F965" s="15"/>
      <c r="G965" s="15"/>
      <c r="H965" s="15"/>
      <c r="I965" s="15"/>
      <c r="J965" s="15"/>
      <c r="K965" s="15"/>
      <c r="L965" s="15"/>
      <c r="M965" s="15"/>
    </row>
    <row r="966" spans="5:13">
      <c r="E966" s="15"/>
      <c r="F966" s="15"/>
      <c r="G966" s="15"/>
      <c r="H966" s="15"/>
      <c r="I966" s="15"/>
      <c r="J966" s="15"/>
      <c r="K966" s="15"/>
      <c r="L966" s="15"/>
      <c r="M966" s="15"/>
    </row>
    <row r="967" spans="5:13">
      <c r="E967" s="15"/>
      <c r="F967" s="15"/>
      <c r="G967" s="15"/>
      <c r="H967" s="15"/>
      <c r="I967" s="15"/>
      <c r="J967" s="15"/>
      <c r="K967" s="15"/>
      <c r="L967" s="15"/>
      <c r="M967" s="15"/>
    </row>
    <row r="968" spans="5:13">
      <c r="E968" s="15"/>
      <c r="F968" s="15"/>
      <c r="G968" s="15"/>
      <c r="H968" s="15"/>
      <c r="I968" s="15"/>
      <c r="J968" s="15"/>
      <c r="K968" s="15"/>
      <c r="L968" s="15"/>
      <c r="M968" s="15"/>
    </row>
    <row r="969" spans="5:13">
      <c r="E969" s="15"/>
      <c r="F969" s="15"/>
      <c r="G969" s="15"/>
      <c r="H969" s="15"/>
      <c r="I969" s="15"/>
      <c r="J969" s="15"/>
      <c r="K969" s="15"/>
      <c r="L969" s="15"/>
      <c r="M969" s="15"/>
    </row>
    <row r="970" spans="5:13">
      <c r="E970" s="15"/>
      <c r="F970" s="15"/>
      <c r="G970" s="15"/>
      <c r="H970" s="15"/>
      <c r="I970" s="15"/>
      <c r="J970" s="15"/>
      <c r="K970" s="15"/>
      <c r="L970" s="15"/>
      <c r="M970" s="15"/>
    </row>
    <row r="971" spans="5:13">
      <c r="E971" s="15"/>
      <c r="F971" s="15"/>
      <c r="G971" s="15"/>
      <c r="H971" s="15"/>
      <c r="I971" s="15"/>
      <c r="J971" s="15"/>
      <c r="K971" s="15"/>
      <c r="L971" s="15"/>
      <c r="M971" s="15"/>
    </row>
    <row r="972" spans="5:13">
      <c r="E972" s="15"/>
      <c r="F972" s="15"/>
      <c r="G972" s="15"/>
      <c r="H972" s="15"/>
      <c r="I972" s="15"/>
      <c r="J972" s="15"/>
      <c r="K972" s="15"/>
      <c r="L972" s="15"/>
      <c r="M972" s="15"/>
    </row>
    <row r="973" spans="5:13">
      <c r="E973" s="15"/>
      <c r="F973" s="15"/>
      <c r="G973" s="15"/>
      <c r="H973" s="15"/>
      <c r="I973" s="15"/>
      <c r="J973" s="15"/>
      <c r="K973" s="15"/>
      <c r="L973" s="15"/>
      <c r="M973" s="15"/>
    </row>
    <row r="974" spans="5:13">
      <c r="E974" s="15"/>
      <c r="F974" s="15"/>
      <c r="G974" s="15"/>
      <c r="H974" s="15"/>
      <c r="I974" s="15"/>
      <c r="J974" s="15"/>
      <c r="K974" s="15"/>
      <c r="L974" s="15"/>
      <c r="M974" s="15"/>
    </row>
    <row r="975" spans="5:13">
      <c r="E975" s="15"/>
      <c r="F975" s="15"/>
      <c r="G975" s="15"/>
      <c r="H975" s="15"/>
      <c r="I975" s="15"/>
      <c r="J975" s="15"/>
      <c r="K975" s="15"/>
      <c r="L975" s="15"/>
      <c r="M975" s="15"/>
    </row>
  </sheetData>
  <printOptions horizontalCentered="1" gridLines="1"/>
  <pageMargins left="0.11811023622047245" right="0.11811023622047245" top="0.74803149606299213" bottom="0.74803149606299213" header="0" footer="0"/>
  <pageSetup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640625" defaultRowHeight="15" customHeight="1"/>
  <cols>
    <col min="1" max="1" width="5.44140625" customWidth="1"/>
    <col min="2" max="2" width="6.21875" customWidth="1"/>
    <col min="3" max="3" width="11.109375" customWidth="1"/>
    <col min="4" max="4" width="8.44140625" customWidth="1"/>
    <col min="5" max="5" width="20.109375" customWidth="1"/>
    <col min="6" max="6" width="22.33203125" customWidth="1"/>
    <col min="7" max="7" width="22" customWidth="1"/>
    <col min="8" max="8" width="14.44140625" customWidth="1"/>
    <col min="9" max="9" width="15.109375" customWidth="1"/>
    <col min="10" max="10" width="16.109375" customWidth="1"/>
    <col min="11" max="11" width="15.6640625" customWidth="1"/>
    <col min="12" max="12" width="24.77734375" customWidth="1"/>
    <col min="13" max="13" width="28.77734375" customWidth="1"/>
    <col min="14" max="14" width="8.88671875" customWidth="1"/>
    <col min="15" max="26" width="5.21875" customWidth="1"/>
  </cols>
  <sheetData>
    <row r="1" spans="1:26" ht="12.75" customHeight="1">
      <c r="A1" s="33" t="s">
        <v>942</v>
      </c>
      <c r="B1" s="34"/>
      <c r="C1" s="34"/>
      <c r="D1" s="34"/>
      <c r="E1" s="34"/>
      <c r="F1" s="34"/>
      <c r="G1" s="34"/>
      <c r="H1" s="34"/>
    </row>
    <row r="2" spans="1:26" ht="28.8">
      <c r="A2" s="17" t="s">
        <v>0</v>
      </c>
      <c r="B2" s="17" t="s">
        <v>1</v>
      </c>
      <c r="C2" s="17" t="s">
        <v>2</v>
      </c>
      <c r="D2" s="17" t="s">
        <v>3</v>
      </c>
      <c r="E2" s="17" t="s">
        <v>943</v>
      </c>
      <c r="F2" s="18" t="s">
        <v>944</v>
      </c>
      <c r="G2" s="18" t="s">
        <v>945</v>
      </c>
      <c r="H2" s="18" t="s">
        <v>13</v>
      </c>
      <c r="I2" s="17" t="s">
        <v>946</v>
      </c>
      <c r="J2" s="17" t="s">
        <v>947</v>
      </c>
      <c r="K2" s="17" t="s">
        <v>948</v>
      </c>
      <c r="L2" s="17" t="s">
        <v>17</v>
      </c>
      <c r="M2" s="17" t="s">
        <v>19</v>
      </c>
      <c r="N2" s="17" t="s">
        <v>18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24.75" customHeight="1">
      <c r="A3" s="3">
        <v>1</v>
      </c>
      <c r="B3" s="4" t="s">
        <v>20</v>
      </c>
      <c r="C3" s="4" t="s">
        <v>21</v>
      </c>
      <c r="D3" s="4" t="s">
        <v>22</v>
      </c>
      <c r="E3" s="4"/>
      <c r="F3" s="4"/>
      <c r="G3" s="4"/>
      <c r="H3" s="4"/>
      <c r="I3" s="6">
        <v>4</v>
      </c>
      <c r="J3" s="6">
        <v>200</v>
      </c>
      <c r="K3" s="6">
        <v>7</v>
      </c>
      <c r="L3" s="4" t="s">
        <v>25</v>
      </c>
      <c r="M3" s="4" t="s">
        <v>26</v>
      </c>
      <c r="N3" s="3">
        <v>1150</v>
      </c>
    </row>
    <row r="4" spans="1:26" ht="24.75" customHeight="1">
      <c r="A4" s="3">
        <v>2</v>
      </c>
      <c r="B4" s="4" t="s">
        <v>20</v>
      </c>
      <c r="C4" s="4" t="s">
        <v>21</v>
      </c>
      <c r="D4" s="4" t="s">
        <v>27</v>
      </c>
      <c r="E4" s="4"/>
      <c r="F4" s="4"/>
      <c r="G4" s="4"/>
      <c r="H4" s="4"/>
      <c r="I4" s="6">
        <v>4</v>
      </c>
      <c r="J4" s="6">
        <v>200</v>
      </c>
      <c r="K4" s="6">
        <v>7</v>
      </c>
      <c r="L4" s="4" t="s">
        <v>28</v>
      </c>
      <c r="M4" s="4" t="s">
        <v>26</v>
      </c>
      <c r="N4" s="3">
        <v>1150</v>
      </c>
    </row>
    <row r="5" spans="1:26" ht="24.75" customHeight="1">
      <c r="A5" s="3">
        <v>3</v>
      </c>
      <c r="B5" s="4" t="s">
        <v>20</v>
      </c>
      <c r="C5" s="4" t="s">
        <v>21</v>
      </c>
      <c r="D5" s="4" t="s">
        <v>29</v>
      </c>
      <c r="E5" s="4"/>
      <c r="F5" s="4"/>
      <c r="G5" s="4"/>
      <c r="H5" s="4"/>
      <c r="I5" s="6">
        <v>4</v>
      </c>
      <c r="J5" s="6">
        <v>200</v>
      </c>
      <c r="K5" s="6">
        <v>7</v>
      </c>
      <c r="L5" s="4" t="s">
        <v>30</v>
      </c>
      <c r="M5" s="4" t="s">
        <v>26</v>
      </c>
      <c r="N5" s="3">
        <v>1150</v>
      </c>
    </row>
    <row r="6" spans="1:26" ht="24.75" customHeight="1">
      <c r="A6" s="3">
        <v>4</v>
      </c>
      <c r="B6" s="4" t="s">
        <v>20</v>
      </c>
      <c r="C6" s="4" t="s">
        <v>21</v>
      </c>
      <c r="D6" s="4" t="s">
        <v>31</v>
      </c>
      <c r="E6" s="4"/>
      <c r="F6" s="4"/>
      <c r="G6" s="4"/>
      <c r="H6" s="4"/>
      <c r="I6" s="6">
        <v>4</v>
      </c>
      <c r="J6" s="6">
        <v>200</v>
      </c>
      <c r="K6" s="6">
        <v>7</v>
      </c>
      <c r="L6" s="4" t="s">
        <v>32</v>
      </c>
      <c r="M6" s="4" t="s">
        <v>26</v>
      </c>
      <c r="N6" s="3">
        <v>1150</v>
      </c>
    </row>
    <row r="7" spans="1:26" ht="24.75" customHeight="1">
      <c r="A7" s="3">
        <v>5</v>
      </c>
      <c r="B7" s="4" t="s">
        <v>20</v>
      </c>
      <c r="C7" s="4" t="s">
        <v>33</v>
      </c>
      <c r="D7" s="4" t="s">
        <v>34</v>
      </c>
      <c r="E7" s="4"/>
      <c r="F7" s="4"/>
      <c r="G7" s="4"/>
      <c r="H7" s="4"/>
      <c r="I7" s="6">
        <v>4</v>
      </c>
      <c r="J7" s="6">
        <v>200</v>
      </c>
      <c r="K7" s="6">
        <v>7</v>
      </c>
      <c r="L7" s="4" t="s">
        <v>35</v>
      </c>
      <c r="M7" s="4" t="s">
        <v>26</v>
      </c>
      <c r="N7" s="3">
        <v>1150</v>
      </c>
    </row>
    <row r="8" spans="1:26" ht="24.75" customHeight="1">
      <c r="A8" s="3">
        <v>6</v>
      </c>
      <c r="B8" s="4" t="s">
        <v>20</v>
      </c>
      <c r="C8" s="4" t="s">
        <v>33</v>
      </c>
      <c r="D8" s="4" t="s">
        <v>36</v>
      </c>
      <c r="E8" s="4"/>
      <c r="F8" s="4"/>
      <c r="G8" s="4"/>
      <c r="H8" s="4"/>
      <c r="I8" s="6">
        <v>4</v>
      </c>
      <c r="J8" s="6">
        <v>200</v>
      </c>
      <c r="K8" s="6">
        <v>7</v>
      </c>
      <c r="L8" s="4" t="s">
        <v>37</v>
      </c>
      <c r="M8" s="4" t="s">
        <v>26</v>
      </c>
      <c r="N8" s="3">
        <v>1150</v>
      </c>
    </row>
    <row r="9" spans="1:26" ht="24.75" customHeight="1">
      <c r="A9" s="3">
        <v>7</v>
      </c>
      <c r="B9" s="4" t="s">
        <v>20</v>
      </c>
      <c r="C9" s="4" t="s">
        <v>33</v>
      </c>
      <c r="D9" s="4" t="s">
        <v>38</v>
      </c>
      <c r="E9" s="4"/>
      <c r="F9" s="4"/>
      <c r="G9" s="4"/>
      <c r="H9" s="4"/>
      <c r="I9" s="6">
        <v>4</v>
      </c>
      <c r="J9" s="6">
        <v>200</v>
      </c>
      <c r="K9" s="6">
        <v>7</v>
      </c>
      <c r="L9" s="4" t="s">
        <v>39</v>
      </c>
      <c r="M9" s="4" t="s">
        <v>26</v>
      </c>
      <c r="N9" s="3">
        <v>1150</v>
      </c>
    </row>
    <row r="10" spans="1:26" ht="24.75" customHeight="1">
      <c r="A10" s="3">
        <v>8</v>
      </c>
      <c r="B10" s="4" t="s">
        <v>20</v>
      </c>
      <c r="C10" s="4" t="s">
        <v>33</v>
      </c>
      <c r="D10" s="4" t="s">
        <v>40</v>
      </c>
      <c r="E10" s="4"/>
      <c r="F10" s="4"/>
      <c r="G10" s="4"/>
      <c r="H10" s="4"/>
      <c r="I10" s="6">
        <v>4</v>
      </c>
      <c r="J10" s="6">
        <v>200</v>
      </c>
      <c r="K10" s="6">
        <v>7</v>
      </c>
      <c r="L10" s="4" t="s">
        <v>41</v>
      </c>
      <c r="M10" s="4" t="s">
        <v>26</v>
      </c>
      <c r="N10" s="3">
        <v>1150</v>
      </c>
    </row>
    <row r="11" spans="1:26" ht="24.75" customHeight="1">
      <c r="A11" s="3">
        <v>9</v>
      </c>
      <c r="B11" s="4" t="s">
        <v>20</v>
      </c>
      <c r="C11" s="4" t="s">
        <v>42</v>
      </c>
      <c r="D11" s="4" t="s">
        <v>43</v>
      </c>
      <c r="E11" s="4"/>
      <c r="F11" s="4"/>
      <c r="G11" s="4"/>
      <c r="H11" s="4"/>
      <c r="I11" s="6">
        <v>4</v>
      </c>
      <c r="J11" s="6">
        <v>200</v>
      </c>
      <c r="K11" s="6">
        <v>7</v>
      </c>
      <c r="L11" s="4" t="s">
        <v>44</v>
      </c>
      <c r="M11" s="4" t="s">
        <v>26</v>
      </c>
      <c r="N11" s="3">
        <v>1150</v>
      </c>
    </row>
    <row r="12" spans="1:26" ht="24.75" customHeight="1">
      <c r="A12" s="3">
        <v>10</v>
      </c>
      <c r="B12" s="4" t="s">
        <v>20</v>
      </c>
      <c r="C12" s="4" t="s">
        <v>42</v>
      </c>
      <c r="D12" s="4" t="s">
        <v>45</v>
      </c>
      <c r="E12" s="4"/>
      <c r="F12" s="4"/>
      <c r="G12" s="4"/>
      <c r="H12" s="4"/>
      <c r="I12" s="6">
        <v>4</v>
      </c>
      <c r="J12" s="6">
        <v>200</v>
      </c>
      <c r="K12" s="6">
        <v>7</v>
      </c>
      <c r="L12" s="4" t="s">
        <v>46</v>
      </c>
      <c r="M12" s="4" t="s">
        <v>26</v>
      </c>
      <c r="N12" s="3">
        <v>1150</v>
      </c>
    </row>
    <row r="13" spans="1:26" ht="24.75" customHeight="1">
      <c r="A13" s="3">
        <v>11</v>
      </c>
      <c r="B13" s="4" t="s">
        <v>20</v>
      </c>
      <c r="C13" s="4" t="s">
        <v>42</v>
      </c>
      <c r="D13" s="4" t="s">
        <v>47</v>
      </c>
      <c r="E13" s="4"/>
      <c r="F13" s="4"/>
      <c r="G13" s="4"/>
      <c r="H13" s="4"/>
      <c r="I13" s="6">
        <v>4</v>
      </c>
      <c r="J13" s="6">
        <v>200</v>
      </c>
      <c r="K13" s="6">
        <v>7</v>
      </c>
      <c r="L13" s="4" t="s">
        <v>48</v>
      </c>
      <c r="M13" s="4" t="s">
        <v>26</v>
      </c>
      <c r="N13" s="3">
        <v>1150</v>
      </c>
    </row>
    <row r="14" spans="1:26" ht="24.75" customHeight="1">
      <c r="A14" s="3">
        <v>12</v>
      </c>
      <c r="B14" s="4" t="s">
        <v>20</v>
      </c>
      <c r="C14" s="4" t="s">
        <v>42</v>
      </c>
      <c r="D14" s="4" t="s">
        <v>49</v>
      </c>
      <c r="E14" s="4"/>
      <c r="F14" s="4"/>
      <c r="G14" s="4"/>
      <c r="H14" s="4"/>
      <c r="I14" s="6">
        <v>4</v>
      </c>
      <c r="J14" s="6">
        <v>200</v>
      </c>
      <c r="K14" s="6">
        <v>7</v>
      </c>
      <c r="L14" s="4" t="s">
        <v>50</v>
      </c>
      <c r="M14" s="4" t="s">
        <v>26</v>
      </c>
      <c r="N14" s="3">
        <v>1150</v>
      </c>
    </row>
    <row r="15" spans="1:26" ht="24.75" customHeight="1">
      <c r="A15" s="3">
        <v>13</v>
      </c>
      <c r="B15" s="4" t="s">
        <v>20</v>
      </c>
      <c r="C15" s="4" t="s">
        <v>51</v>
      </c>
      <c r="D15" s="4" t="s">
        <v>52</v>
      </c>
      <c r="E15" s="4"/>
      <c r="F15" s="4"/>
      <c r="G15" s="4"/>
      <c r="H15" s="4"/>
      <c r="I15" s="6">
        <v>4</v>
      </c>
      <c r="J15" s="6">
        <v>200</v>
      </c>
      <c r="K15" s="6">
        <v>7</v>
      </c>
      <c r="L15" s="4" t="s">
        <v>53</v>
      </c>
      <c r="M15" s="4" t="s">
        <v>26</v>
      </c>
      <c r="N15" s="3">
        <v>1150</v>
      </c>
    </row>
    <row r="16" spans="1:26" ht="24.75" customHeight="1">
      <c r="A16" s="3">
        <v>14</v>
      </c>
      <c r="B16" s="4" t="s">
        <v>20</v>
      </c>
      <c r="C16" s="4" t="s">
        <v>51</v>
      </c>
      <c r="D16" s="4" t="s">
        <v>54</v>
      </c>
      <c r="E16" s="4"/>
      <c r="F16" s="4"/>
      <c r="G16" s="4"/>
      <c r="H16" s="4"/>
      <c r="I16" s="6">
        <v>4</v>
      </c>
      <c r="J16" s="6">
        <v>200</v>
      </c>
      <c r="K16" s="6">
        <v>7</v>
      </c>
      <c r="L16" s="4" t="s">
        <v>55</v>
      </c>
      <c r="M16" s="4" t="s">
        <v>26</v>
      </c>
      <c r="N16" s="3">
        <v>1150</v>
      </c>
    </row>
    <row r="17" spans="1:14" ht="24.75" customHeight="1">
      <c r="A17" s="3">
        <v>15</v>
      </c>
      <c r="B17" s="4" t="s">
        <v>20</v>
      </c>
      <c r="C17" s="4" t="s">
        <v>51</v>
      </c>
      <c r="D17" s="4" t="s">
        <v>56</v>
      </c>
      <c r="E17" s="4"/>
      <c r="F17" s="4"/>
      <c r="G17" s="4"/>
      <c r="H17" s="4"/>
      <c r="I17" s="6">
        <v>4</v>
      </c>
      <c r="J17" s="6">
        <v>200</v>
      </c>
      <c r="K17" s="6">
        <v>7</v>
      </c>
      <c r="L17" s="4" t="s">
        <v>57</v>
      </c>
      <c r="M17" s="4" t="s">
        <v>26</v>
      </c>
      <c r="N17" s="3">
        <v>1150</v>
      </c>
    </row>
    <row r="18" spans="1:14" ht="24.75" customHeight="1">
      <c r="A18" s="3">
        <v>16</v>
      </c>
      <c r="B18" s="4" t="s">
        <v>20</v>
      </c>
      <c r="C18" s="4" t="s">
        <v>60</v>
      </c>
      <c r="D18" s="4" t="s">
        <v>61</v>
      </c>
      <c r="E18" s="4"/>
      <c r="F18" s="4"/>
      <c r="G18" s="4"/>
      <c r="H18" s="4"/>
      <c r="I18" s="6">
        <v>4</v>
      </c>
      <c r="J18" s="6">
        <v>200</v>
      </c>
      <c r="K18" s="6">
        <v>7</v>
      </c>
      <c r="L18" s="4" t="s">
        <v>62</v>
      </c>
      <c r="M18" s="4" t="s">
        <v>26</v>
      </c>
      <c r="N18" s="3">
        <v>1150</v>
      </c>
    </row>
    <row r="19" spans="1:14" ht="24.75" customHeight="1">
      <c r="A19" s="3">
        <v>17</v>
      </c>
      <c r="B19" s="4" t="s">
        <v>20</v>
      </c>
      <c r="C19" s="4" t="s">
        <v>60</v>
      </c>
      <c r="D19" s="4" t="s">
        <v>63</v>
      </c>
      <c r="E19" s="4"/>
      <c r="F19" s="4"/>
      <c r="G19" s="4"/>
      <c r="H19" s="4"/>
      <c r="I19" s="6">
        <v>4</v>
      </c>
      <c r="J19" s="6">
        <v>200</v>
      </c>
      <c r="K19" s="6">
        <v>7</v>
      </c>
      <c r="L19" s="4" t="s">
        <v>64</v>
      </c>
      <c r="M19" s="4" t="s">
        <v>26</v>
      </c>
      <c r="N19" s="3">
        <v>1150</v>
      </c>
    </row>
    <row r="20" spans="1:14" ht="24.75" customHeight="1">
      <c r="A20" s="3">
        <v>18</v>
      </c>
      <c r="B20" s="4" t="s">
        <v>20</v>
      </c>
      <c r="C20" s="4" t="s">
        <v>60</v>
      </c>
      <c r="D20" s="4" t="s">
        <v>65</v>
      </c>
      <c r="E20" s="4"/>
      <c r="F20" s="4"/>
      <c r="G20" s="4"/>
      <c r="H20" s="4"/>
      <c r="I20" s="6">
        <v>4</v>
      </c>
      <c r="J20" s="6">
        <v>200</v>
      </c>
      <c r="K20" s="6">
        <v>7</v>
      </c>
      <c r="L20" s="4" t="s">
        <v>66</v>
      </c>
      <c r="M20" s="4" t="s">
        <v>26</v>
      </c>
      <c r="N20" s="3">
        <v>1150</v>
      </c>
    </row>
    <row r="21" spans="1:14" ht="24.75" customHeight="1">
      <c r="A21" s="3">
        <v>19</v>
      </c>
      <c r="B21" s="4" t="s">
        <v>20</v>
      </c>
      <c r="C21" s="4" t="s">
        <v>60</v>
      </c>
      <c r="D21" s="4" t="s">
        <v>67</v>
      </c>
      <c r="E21" s="4"/>
      <c r="F21" s="4"/>
      <c r="G21" s="4"/>
      <c r="H21" s="4"/>
      <c r="I21" s="6">
        <v>4</v>
      </c>
      <c r="J21" s="6">
        <v>200</v>
      </c>
      <c r="K21" s="6">
        <v>7</v>
      </c>
      <c r="L21" s="4" t="s">
        <v>68</v>
      </c>
      <c r="M21" s="4" t="s">
        <v>26</v>
      </c>
      <c r="N21" s="3">
        <v>1150</v>
      </c>
    </row>
    <row r="22" spans="1:14" ht="24.75" customHeight="1">
      <c r="A22" s="3">
        <v>20</v>
      </c>
      <c r="B22" s="4" t="s">
        <v>20</v>
      </c>
      <c r="C22" s="4" t="s">
        <v>69</v>
      </c>
      <c r="D22" s="4" t="s">
        <v>70</v>
      </c>
      <c r="E22" s="4"/>
      <c r="F22" s="4"/>
      <c r="G22" s="4"/>
      <c r="H22" s="4"/>
      <c r="I22" s="6">
        <v>4</v>
      </c>
      <c r="J22" s="6">
        <v>200</v>
      </c>
      <c r="K22" s="6">
        <v>7</v>
      </c>
      <c r="L22" s="4" t="s">
        <v>71</v>
      </c>
      <c r="M22" s="4" t="s">
        <v>26</v>
      </c>
      <c r="N22" s="3">
        <v>1150</v>
      </c>
    </row>
    <row r="23" spans="1:14" ht="24.75" customHeight="1">
      <c r="A23" s="3">
        <v>21</v>
      </c>
      <c r="B23" s="4" t="s">
        <v>20</v>
      </c>
      <c r="C23" s="4" t="s">
        <v>69</v>
      </c>
      <c r="D23" s="4" t="s">
        <v>72</v>
      </c>
      <c r="E23" s="4"/>
      <c r="F23" s="4"/>
      <c r="G23" s="4"/>
      <c r="H23" s="4"/>
      <c r="I23" s="6">
        <v>4</v>
      </c>
      <c r="J23" s="6">
        <v>200</v>
      </c>
      <c r="K23" s="6">
        <v>7</v>
      </c>
      <c r="L23" s="4" t="s">
        <v>73</v>
      </c>
      <c r="M23" s="4" t="s">
        <v>26</v>
      </c>
      <c r="N23" s="3">
        <v>1150</v>
      </c>
    </row>
    <row r="24" spans="1:14" ht="24.75" customHeight="1">
      <c r="A24" s="3">
        <v>22</v>
      </c>
      <c r="B24" s="4" t="s">
        <v>20</v>
      </c>
      <c r="C24" s="4" t="s">
        <v>69</v>
      </c>
      <c r="D24" s="4" t="s">
        <v>75</v>
      </c>
      <c r="E24" s="4"/>
      <c r="F24" s="4"/>
      <c r="G24" s="4"/>
      <c r="H24" s="4"/>
      <c r="I24" s="6">
        <v>4</v>
      </c>
      <c r="J24" s="6">
        <v>200</v>
      </c>
      <c r="K24" s="6">
        <v>7</v>
      </c>
      <c r="L24" s="4" t="s">
        <v>76</v>
      </c>
      <c r="M24" s="4" t="s">
        <v>26</v>
      </c>
      <c r="N24" s="3">
        <v>1150</v>
      </c>
    </row>
    <row r="25" spans="1:14" ht="24.75" customHeight="1">
      <c r="A25" s="3">
        <v>23</v>
      </c>
      <c r="B25" s="4" t="s">
        <v>20</v>
      </c>
      <c r="C25" s="4" t="s">
        <v>77</v>
      </c>
      <c r="D25" s="4" t="s">
        <v>78</v>
      </c>
      <c r="E25" s="4"/>
      <c r="F25" s="4"/>
      <c r="G25" s="4"/>
      <c r="H25" s="4"/>
      <c r="I25" s="6">
        <v>4</v>
      </c>
      <c r="J25" s="6">
        <v>200</v>
      </c>
      <c r="K25" s="6">
        <v>7</v>
      </c>
      <c r="L25" s="4" t="s">
        <v>79</v>
      </c>
      <c r="M25" s="4" t="s">
        <v>26</v>
      </c>
      <c r="N25" s="3">
        <v>1150</v>
      </c>
    </row>
    <row r="26" spans="1:14" ht="24.75" customHeight="1">
      <c r="A26" s="3">
        <v>24</v>
      </c>
      <c r="B26" s="4" t="s">
        <v>20</v>
      </c>
      <c r="C26" s="4" t="s">
        <v>77</v>
      </c>
      <c r="D26" s="4" t="s">
        <v>81</v>
      </c>
      <c r="E26" s="4"/>
      <c r="F26" s="4"/>
      <c r="G26" s="4"/>
      <c r="H26" s="4"/>
      <c r="I26" s="6">
        <v>4</v>
      </c>
      <c r="J26" s="6">
        <v>200</v>
      </c>
      <c r="K26" s="6">
        <v>7</v>
      </c>
      <c r="L26" s="4" t="s">
        <v>82</v>
      </c>
      <c r="M26" s="4" t="s">
        <v>26</v>
      </c>
      <c r="N26" s="3">
        <v>1150</v>
      </c>
    </row>
    <row r="27" spans="1:14" ht="24.75" customHeight="1">
      <c r="A27" s="3">
        <v>25</v>
      </c>
      <c r="B27" s="4" t="s">
        <v>20</v>
      </c>
      <c r="C27" s="4" t="s">
        <v>77</v>
      </c>
      <c r="D27" s="4" t="s">
        <v>83</v>
      </c>
      <c r="E27" s="4"/>
      <c r="F27" s="4"/>
      <c r="G27" s="4"/>
      <c r="H27" s="4"/>
      <c r="I27" s="6">
        <v>4</v>
      </c>
      <c r="J27" s="6">
        <v>200</v>
      </c>
      <c r="K27" s="6">
        <v>7</v>
      </c>
      <c r="L27" s="4" t="s">
        <v>84</v>
      </c>
      <c r="M27" s="4" t="s">
        <v>26</v>
      </c>
      <c r="N27" s="3">
        <v>1150</v>
      </c>
    </row>
    <row r="28" spans="1:14" ht="24.75" customHeight="1">
      <c r="A28" s="3">
        <v>26</v>
      </c>
      <c r="B28" s="4" t="s">
        <v>20</v>
      </c>
      <c r="C28" s="4" t="s">
        <v>85</v>
      </c>
      <c r="D28" s="4" t="s">
        <v>86</v>
      </c>
      <c r="E28" s="4"/>
      <c r="F28" s="4"/>
      <c r="G28" s="4"/>
      <c r="H28" s="4"/>
      <c r="I28" s="6">
        <v>4</v>
      </c>
      <c r="J28" s="6">
        <v>200</v>
      </c>
      <c r="K28" s="6">
        <v>7</v>
      </c>
      <c r="L28" s="4" t="s">
        <v>87</v>
      </c>
      <c r="M28" s="4" t="s">
        <v>26</v>
      </c>
      <c r="N28" s="3">
        <v>1150</v>
      </c>
    </row>
    <row r="29" spans="1:14" ht="24.75" customHeight="1">
      <c r="A29" s="3">
        <v>27</v>
      </c>
      <c r="B29" s="4" t="s">
        <v>20</v>
      </c>
      <c r="C29" s="4" t="s">
        <v>85</v>
      </c>
      <c r="D29" s="4" t="s">
        <v>88</v>
      </c>
      <c r="E29" s="4"/>
      <c r="F29" s="4"/>
      <c r="G29" s="4"/>
      <c r="H29" s="4"/>
      <c r="I29" s="6">
        <v>4</v>
      </c>
      <c r="J29" s="6">
        <v>200</v>
      </c>
      <c r="K29" s="6">
        <v>7</v>
      </c>
      <c r="L29" s="4" t="s">
        <v>89</v>
      </c>
      <c r="M29" s="4" t="s">
        <v>26</v>
      </c>
      <c r="N29" s="3">
        <v>1150</v>
      </c>
    </row>
    <row r="30" spans="1:14" ht="24.75" customHeight="1">
      <c r="A30" s="3">
        <v>28</v>
      </c>
      <c r="B30" s="4" t="s">
        <v>20</v>
      </c>
      <c r="C30" s="4" t="s">
        <v>85</v>
      </c>
      <c r="D30" s="4" t="s">
        <v>949</v>
      </c>
      <c r="E30" s="4"/>
      <c r="F30" s="4"/>
      <c r="G30" s="4"/>
      <c r="H30" s="4"/>
      <c r="I30" s="6">
        <v>4</v>
      </c>
      <c r="J30" s="6">
        <v>200</v>
      </c>
      <c r="K30" s="6">
        <v>7</v>
      </c>
      <c r="L30" s="4" t="s">
        <v>91</v>
      </c>
      <c r="M30" s="4" t="s">
        <v>26</v>
      </c>
      <c r="N30" s="3">
        <v>1150</v>
      </c>
    </row>
    <row r="31" spans="1:14" ht="24.75" customHeight="1">
      <c r="A31" s="3">
        <v>29</v>
      </c>
      <c r="B31" s="4" t="s">
        <v>20</v>
      </c>
      <c r="C31" s="4" t="s">
        <v>85</v>
      </c>
      <c r="D31" s="4" t="s">
        <v>92</v>
      </c>
      <c r="E31" s="4"/>
      <c r="F31" s="4"/>
      <c r="G31" s="4"/>
      <c r="H31" s="4"/>
      <c r="I31" s="6">
        <v>4</v>
      </c>
      <c r="J31" s="6">
        <v>200</v>
      </c>
      <c r="K31" s="6">
        <v>7</v>
      </c>
      <c r="L31" s="4" t="s">
        <v>93</v>
      </c>
      <c r="M31" s="4" t="s">
        <v>26</v>
      </c>
      <c r="N31" s="3">
        <v>1150</v>
      </c>
    </row>
    <row r="32" spans="1:14" ht="24.75" customHeight="1">
      <c r="A32" s="3">
        <v>30</v>
      </c>
      <c r="B32" s="4" t="s">
        <v>20</v>
      </c>
      <c r="C32" s="4" t="s">
        <v>94</v>
      </c>
      <c r="D32" s="4" t="s">
        <v>95</v>
      </c>
      <c r="E32" s="4"/>
      <c r="F32" s="4"/>
      <c r="G32" s="4"/>
      <c r="H32" s="4"/>
      <c r="I32" s="6">
        <v>4</v>
      </c>
      <c r="J32" s="6">
        <v>200</v>
      </c>
      <c r="K32" s="6">
        <v>7</v>
      </c>
      <c r="L32" s="4" t="s">
        <v>96</v>
      </c>
      <c r="M32" s="4" t="s">
        <v>26</v>
      </c>
      <c r="N32" s="3">
        <v>1150</v>
      </c>
    </row>
    <row r="33" spans="1:14" ht="24.75" customHeight="1">
      <c r="A33" s="3">
        <v>31</v>
      </c>
      <c r="B33" s="4" t="s">
        <v>20</v>
      </c>
      <c r="C33" s="4" t="s">
        <v>94</v>
      </c>
      <c r="D33" s="4" t="s">
        <v>97</v>
      </c>
      <c r="E33" s="4"/>
      <c r="F33" s="4"/>
      <c r="G33" s="4"/>
      <c r="H33" s="4"/>
      <c r="I33" s="6">
        <v>4</v>
      </c>
      <c r="J33" s="6">
        <v>200</v>
      </c>
      <c r="K33" s="6">
        <v>7</v>
      </c>
      <c r="L33" s="4" t="s">
        <v>98</v>
      </c>
      <c r="M33" s="4" t="s">
        <v>26</v>
      </c>
      <c r="N33" s="3">
        <v>1150</v>
      </c>
    </row>
    <row r="34" spans="1:14" ht="24.75" customHeight="1">
      <c r="A34" s="3">
        <v>32</v>
      </c>
      <c r="B34" s="4" t="s">
        <v>20</v>
      </c>
      <c r="C34" s="4" t="s">
        <v>94</v>
      </c>
      <c r="D34" s="4" t="s">
        <v>99</v>
      </c>
      <c r="E34" s="4"/>
      <c r="F34" s="4"/>
      <c r="G34" s="4"/>
      <c r="H34" s="4"/>
      <c r="I34" s="6">
        <v>4</v>
      </c>
      <c r="J34" s="6">
        <v>200</v>
      </c>
      <c r="K34" s="6">
        <v>7</v>
      </c>
      <c r="L34" s="4" t="s">
        <v>100</v>
      </c>
      <c r="M34" s="4" t="s">
        <v>26</v>
      </c>
      <c r="N34" s="3">
        <v>1150</v>
      </c>
    </row>
    <row r="35" spans="1:14" ht="24.75" customHeight="1">
      <c r="A35" s="3">
        <v>33</v>
      </c>
      <c r="B35" s="4" t="s">
        <v>20</v>
      </c>
      <c r="C35" s="4" t="s">
        <v>94</v>
      </c>
      <c r="D35" s="4" t="s">
        <v>101</v>
      </c>
      <c r="E35" s="4"/>
      <c r="F35" s="4"/>
      <c r="G35" s="4"/>
      <c r="H35" s="4"/>
      <c r="I35" s="6">
        <v>4</v>
      </c>
      <c r="J35" s="6">
        <v>200</v>
      </c>
      <c r="K35" s="6">
        <v>7</v>
      </c>
      <c r="L35" s="4" t="s">
        <v>102</v>
      </c>
      <c r="M35" s="4" t="s">
        <v>26</v>
      </c>
      <c r="N35" s="3">
        <v>1150</v>
      </c>
    </row>
    <row r="36" spans="1:14" ht="24.75" customHeight="1">
      <c r="A36" s="3">
        <v>34</v>
      </c>
      <c r="B36" s="4" t="s">
        <v>20</v>
      </c>
      <c r="C36" s="4" t="s">
        <v>103</v>
      </c>
      <c r="D36" s="4" t="s">
        <v>104</v>
      </c>
      <c r="E36" s="4"/>
      <c r="F36" s="4"/>
      <c r="G36" s="4"/>
      <c r="H36" s="4"/>
      <c r="I36" s="6">
        <v>4</v>
      </c>
      <c r="J36" s="6">
        <v>200</v>
      </c>
      <c r="K36" s="6">
        <v>7</v>
      </c>
      <c r="L36" s="4" t="s">
        <v>105</v>
      </c>
      <c r="M36" s="4" t="s">
        <v>26</v>
      </c>
      <c r="N36" s="3">
        <v>1150</v>
      </c>
    </row>
    <row r="37" spans="1:14" ht="24.75" customHeight="1">
      <c r="A37" s="3">
        <v>35</v>
      </c>
      <c r="B37" s="4" t="s">
        <v>20</v>
      </c>
      <c r="C37" s="4" t="s">
        <v>103</v>
      </c>
      <c r="D37" s="4" t="s">
        <v>106</v>
      </c>
      <c r="E37" s="4"/>
      <c r="F37" s="4"/>
      <c r="G37" s="4"/>
      <c r="H37" s="4"/>
      <c r="I37" s="6">
        <v>4</v>
      </c>
      <c r="J37" s="6">
        <v>200</v>
      </c>
      <c r="K37" s="6">
        <v>7</v>
      </c>
      <c r="L37" s="4" t="s">
        <v>107</v>
      </c>
      <c r="M37" s="4" t="s">
        <v>26</v>
      </c>
      <c r="N37" s="3">
        <v>1150</v>
      </c>
    </row>
    <row r="38" spans="1:14" ht="24.75" customHeight="1">
      <c r="A38" s="3">
        <v>36</v>
      </c>
      <c r="B38" s="4" t="s">
        <v>20</v>
      </c>
      <c r="C38" s="4" t="s">
        <v>103</v>
      </c>
      <c r="D38" s="4" t="s">
        <v>108</v>
      </c>
      <c r="E38" s="4"/>
      <c r="F38" s="4"/>
      <c r="G38" s="4"/>
      <c r="H38" s="4"/>
      <c r="I38" s="6">
        <v>4</v>
      </c>
      <c r="J38" s="6">
        <v>200</v>
      </c>
      <c r="K38" s="6">
        <v>7</v>
      </c>
      <c r="L38" s="4" t="s">
        <v>109</v>
      </c>
      <c r="M38" s="4" t="s">
        <v>26</v>
      </c>
      <c r="N38" s="3">
        <v>1150</v>
      </c>
    </row>
    <row r="39" spans="1:14" ht="24.75" customHeight="1">
      <c r="A39" s="3">
        <v>37</v>
      </c>
      <c r="B39" s="4" t="s">
        <v>20</v>
      </c>
      <c r="C39" s="4" t="s">
        <v>103</v>
      </c>
      <c r="D39" s="4" t="s">
        <v>110</v>
      </c>
      <c r="E39" s="4"/>
      <c r="F39" s="4"/>
      <c r="G39" s="4"/>
      <c r="H39" s="4"/>
      <c r="I39" s="6">
        <v>4</v>
      </c>
      <c r="J39" s="6">
        <v>200</v>
      </c>
      <c r="K39" s="6">
        <v>7</v>
      </c>
      <c r="L39" s="4" t="s">
        <v>111</v>
      </c>
      <c r="M39" s="4" t="s">
        <v>26</v>
      </c>
      <c r="N39" s="3">
        <v>1150</v>
      </c>
    </row>
    <row r="40" spans="1:14" ht="24.75" customHeight="1">
      <c r="A40" s="3">
        <v>38</v>
      </c>
      <c r="B40" s="4" t="s">
        <v>20</v>
      </c>
      <c r="C40" s="4" t="s">
        <v>112</v>
      </c>
      <c r="D40" s="4" t="s">
        <v>113</v>
      </c>
      <c r="E40" s="4"/>
      <c r="F40" s="4"/>
      <c r="G40" s="4"/>
      <c r="H40" s="4"/>
      <c r="I40" s="6">
        <v>4</v>
      </c>
      <c r="J40" s="6">
        <v>200</v>
      </c>
      <c r="K40" s="6">
        <v>7</v>
      </c>
      <c r="L40" s="4" t="s">
        <v>114</v>
      </c>
      <c r="M40" s="4" t="s">
        <v>26</v>
      </c>
      <c r="N40" s="3">
        <v>1150</v>
      </c>
    </row>
    <row r="41" spans="1:14" ht="24.75" customHeight="1">
      <c r="A41" s="3">
        <v>39</v>
      </c>
      <c r="B41" s="4" t="s">
        <v>20</v>
      </c>
      <c r="C41" s="4" t="s">
        <v>112</v>
      </c>
      <c r="D41" s="4" t="s">
        <v>115</v>
      </c>
      <c r="E41" s="4"/>
      <c r="F41" s="4"/>
      <c r="G41" s="4"/>
      <c r="H41" s="4"/>
      <c r="I41" s="6">
        <v>4</v>
      </c>
      <c r="J41" s="6">
        <v>200</v>
      </c>
      <c r="K41" s="6">
        <v>7</v>
      </c>
      <c r="L41" s="4" t="s">
        <v>116</v>
      </c>
      <c r="M41" s="4" t="s">
        <v>26</v>
      </c>
      <c r="N41" s="3">
        <v>1150</v>
      </c>
    </row>
    <row r="42" spans="1:14" ht="24.75" customHeight="1">
      <c r="A42" s="3">
        <v>40</v>
      </c>
      <c r="B42" s="4" t="s">
        <v>20</v>
      </c>
      <c r="C42" s="4" t="s">
        <v>112</v>
      </c>
      <c r="D42" s="4" t="s">
        <v>118</v>
      </c>
      <c r="E42" s="4"/>
      <c r="F42" s="4"/>
      <c r="G42" s="4"/>
      <c r="H42" s="4"/>
      <c r="I42" s="6">
        <v>4</v>
      </c>
      <c r="J42" s="6">
        <v>200</v>
      </c>
      <c r="K42" s="6">
        <v>7</v>
      </c>
      <c r="L42" s="4" t="s">
        <v>119</v>
      </c>
      <c r="M42" s="4" t="s">
        <v>26</v>
      </c>
      <c r="N42" s="3">
        <v>1150</v>
      </c>
    </row>
    <row r="43" spans="1:14" ht="24.75" customHeight="1">
      <c r="A43" s="3">
        <v>41</v>
      </c>
      <c r="B43" s="4" t="s">
        <v>20</v>
      </c>
      <c r="C43" s="4" t="s">
        <v>120</v>
      </c>
      <c r="D43" s="4" t="s">
        <v>121</v>
      </c>
      <c r="E43" s="4"/>
      <c r="F43" s="4"/>
      <c r="G43" s="4"/>
      <c r="H43" s="4"/>
      <c r="I43" s="6">
        <v>4</v>
      </c>
      <c r="J43" s="6">
        <v>200</v>
      </c>
      <c r="K43" s="6">
        <v>7</v>
      </c>
      <c r="L43" s="4" t="s">
        <v>122</v>
      </c>
      <c r="M43" s="4" t="s">
        <v>26</v>
      </c>
      <c r="N43" s="3">
        <v>1150</v>
      </c>
    </row>
    <row r="44" spans="1:14" ht="24.75" customHeight="1">
      <c r="A44" s="3">
        <v>42</v>
      </c>
      <c r="B44" s="4" t="s">
        <v>20</v>
      </c>
      <c r="C44" s="4" t="s">
        <v>120</v>
      </c>
      <c r="D44" s="4" t="s">
        <v>123</v>
      </c>
      <c r="E44" s="4"/>
      <c r="F44" s="4"/>
      <c r="G44" s="4"/>
      <c r="H44" s="4"/>
      <c r="I44" s="6">
        <v>4</v>
      </c>
      <c r="J44" s="6">
        <v>200</v>
      </c>
      <c r="K44" s="6">
        <v>7</v>
      </c>
      <c r="L44" s="4" t="s">
        <v>124</v>
      </c>
      <c r="M44" s="4" t="s">
        <v>26</v>
      </c>
      <c r="N44" s="3">
        <v>1150</v>
      </c>
    </row>
    <row r="45" spans="1:14" ht="24.75" customHeight="1">
      <c r="A45" s="3">
        <v>43</v>
      </c>
      <c r="B45" s="4" t="s">
        <v>20</v>
      </c>
      <c r="C45" s="4" t="s">
        <v>120</v>
      </c>
      <c r="D45" s="4" t="s">
        <v>126</v>
      </c>
      <c r="E45" s="4"/>
      <c r="F45" s="4"/>
      <c r="G45" s="4"/>
      <c r="H45" s="4"/>
      <c r="I45" s="6">
        <v>4</v>
      </c>
      <c r="J45" s="6">
        <v>200</v>
      </c>
      <c r="K45" s="6">
        <v>7</v>
      </c>
      <c r="L45" s="4" t="s">
        <v>127</v>
      </c>
      <c r="M45" s="4" t="s">
        <v>26</v>
      </c>
      <c r="N45" s="3">
        <v>1150</v>
      </c>
    </row>
    <row r="46" spans="1:14" ht="24.75" customHeight="1">
      <c r="A46" s="3">
        <v>44</v>
      </c>
      <c r="B46" s="4" t="s">
        <v>20</v>
      </c>
      <c r="C46" s="4" t="s">
        <v>128</v>
      </c>
      <c r="D46" s="4" t="s">
        <v>129</v>
      </c>
      <c r="E46" s="4"/>
      <c r="F46" s="4"/>
      <c r="G46" s="4"/>
      <c r="H46" s="4"/>
      <c r="I46" s="6">
        <v>4</v>
      </c>
      <c r="J46" s="6">
        <v>200</v>
      </c>
      <c r="K46" s="6">
        <v>7</v>
      </c>
      <c r="L46" s="4" t="s">
        <v>130</v>
      </c>
      <c r="M46" s="4" t="s">
        <v>26</v>
      </c>
      <c r="N46" s="3">
        <v>1150</v>
      </c>
    </row>
    <row r="47" spans="1:14" ht="24.75" customHeight="1">
      <c r="A47" s="3">
        <v>45</v>
      </c>
      <c r="B47" s="4" t="s">
        <v>20</v>
      </c>
      <c r="C47" s="4" t="s">
        <v>128</v>
      </c>
      <c r="D47" s="4" t="s">
        <v>131</v>
      </c>
      <c r="E47" s="4"/>
      <c r="F47" s="4"/>
      <c r="G47" s="4"/>
      <c r="H47" s="4"/>
      <c r="I47" s="6">
        <v>4</v>
      </c>
      <c r="J47" s="6">
        <v>200</v>
      </c>
      <c r="K47" s="6">
        <v>7</v>
      </c>
      <c r="L47" s="4" t="s">
        <v>132</v>
      </c>
      <c r="M47" s="4" t="s">
        <v>26</v>
      </c>
      <c r="N47" s="3">
        <v>1150</v>
      </c>
    </row>
    <row r="48" spans="1:14" ht="24.75" customHeight="1">
      <c r="A48" s="3">
        <v>46</v>
      </c>
      <c r="B48" s="4" t="s">
        <v>20</v>
      </c>
      <c r="C48" s="4" t="s">
        <v>128</v>
      </c>
      <c r="D48" s="4" t="s">
        <v>133</v>
      </c>
      <c r="E48" s="4"/>
      <c r="F48" s="4"/>
      <c r="G48" s="4"/>
      <c r="H48" s="4"/>
      <c r="I48" s="6">
        <v>4</v>
      </c>
      <c r="J48" s="6">
        <v>200</v>
      </c>
      <c r="K48" s="6">
        <v>7</v>
      </c>
      <c r="L48" s="4" t="s">
        <v>134</v>
      </c>
      <c r="M48" s="4" t="s">
        <v>26</v>
      </c>
      <c r="N48" s="3">
        <v>1150</v>
      </c>
    </row>
    <row r="49" spans="1:14" ht="24.75" customHeight="1">
      <c r="A49" s="3">
        <v>47</v>
      </c>
      <c r="B49" s="4" t="s">
        <v>20</v>
      </c>
      <c r="C49" s="4" t="s">
        <v>128</v>
      </c>
      <c r="D49" s="4" t="s">
        <v>135</v>
      </c>
      <c r="E49" s="4"/>
      <c r="F49" s="4"/>
      <c r="G49" s="4"/>
      <c r="H49" s="4"/>
      <c r="I49" s="6">
        <v>4</v>
      </c>
      <c r="J49" s="6">
        <v>200</v>
      </c>
      <c r="K49" s="6">
        <v>7</v>
      </c>
      <c r="L49" s="4" t="s">
        <v>136</v>
      </c>
      <c r="M49" s="4" t="s">
        <v>26</v>
      </c>
      <c r="N49" s="3">
        <v>1150</v>
      </c>
    </row>
    <row r="50" spans="1:14" ht="24.75" customHeight="1">
      <c r="A50" s="3">
        <v>48</v>
      </c>
      <c r="B50" s="4" t="s">
        <v>20</v>
      </c>
      <c r="C50" s="4" t="s">
        <v>137</v>
      </c>
      <c r="D50" s="4" t="s">
        <v>138</v>
      </c>
      <c r="E50" s="4"/>
      <c r="F50" s="4"/>
      <c r="G50" s="4"/>
      <c r="H50" s="4"/>
      <c r="I50" s="6">
        <v>4</v>
      </c>
      <c r="J50" s="6">
        <v>200</v>
      </c>
      <c r="K50" s="6">
        <v>7</v>
      </c>
      <c r="L50" s="4" t="s">
        <v>139</v>
      </c>
      <c r="M50" s="4" t="s">
        <v>26</v>
      </c>
      <c r="N50" s="3">
        <v>1150</v>
      </c>
    </row>
    <row r="51" spans="1:14" ht="24.75" customHeight="1">
      <c r="A51" s="3">
        <v>49</v>
      </c>
      <c r="B51" s="4" t="s">
        <v>20</v>
      </c>
      <c r="C51" s="4" t="s">
        <v>137</v>
      </c>
      <c r="D51" s="4" t="s">
        <v>142</v>
      </c>
      <c r="E51" s="4"/>
      <c r="F51" s="4"/>
      <c r="G51" s="4"/>
      <c r="H51" s="4"/>
      <c r="I51" s="6">
        <v>4</v>
      </c>
      <c r="J51" s="6">
        <v>200</v>
      </c>
      <c r="K51" s="6">
        <v>7</v>
      </c>
      <c r="L51" s="4" t="s">
        <v>143</v>
      </c>
      <c r="M51" s="4" t="s">
        <v>26</v>
      </c>
      <c r="N51" s="3">
        <v>1150</v>
      </c>
    </row>
    <row r="52" spans="1:14" ht="24.75" customHeight="1">
      <c r="A52" s="3">
        <v>50</v>
      </c>
      <c r="B52" s="4" t="s">
        <v>20</v>
      </c>
      <c r="C52" s="4" t="s">
        <v>144</v>
      </c>
      <c r="D52" s="4" t="s">
        <v>145</v>
      </c>
      <c r="E52" s="4"/>
      <c r="F52" s="4"/>
      <c r="G52" s="4"/>
      <c r="H52" s="4"/>
      <c r="I52" s="6">
        <v>4</v>
      </c>
      <c r="J52" s="6">
        <v>200</v>
      </c>
      <c r="K52" s="6">
        <v>7</v>
      </c>
      <c r="L52" s="4" t="s">
        <v>146</v>
      </c>
      <c r="M52" s="4" t="s">
        <v>26</v>
      </c>
      <c r="N52" s="3">
        <v>1150</v>
      </c>
    </row>
    <row r="53" spans="1:14" ht="24.75" customHeight="1">
      <c r="A53" s="3">
        <v>51</v>
      </c>
      <c r="B53" s="4" t="s">
        <v>20</v>
      </c>
      <c r="C53" s="4" t="s">
        <v>144</v>
      </c>
      <c r="D53" s="4" t="s">
        <v>150</v>
      </c>
      <c r="E53" s="4"/>
      <c r="F53" s="4"/>
      <c r="G53" s="4"/>
      <c r="H53" s="4"/>
      <c r="I53" s="6">
        <v>4</v>
      </c>
      <c r="J53" s="6">
        <v>200</v>
      </c>
      <c r="K53" s="6">
        <v>7</v>
      </c>
      <c r="L53" s="4" t="s">
        <v>151</v>
      </c>
      <c r="M53" s="4" t="s">
        <v>26</v>
      </c>
      <c r="N53" s="3">
        <v>1150</v>
      </c>
    </row>
    <row r="54" spans="1:14" ht="24.75" customHeight="1">
      <c r="A54" s="3">
        <v>52</v>
      </c>
      <c r="B54" s="4" t="s">
        <v>20</v>
      </c>
      <c r="C54" s="4" t="s">
        <v>152</v>
      </c>
      <c r="D54" s="4" t="s">
        <v>154</v>
      </c>
      <c r="E54" s="4"/>
      <c r="F54" s="4"/>
      <c r="G54" s="4"/>
      <c r="H54" s="4"/>
      <c r="I54" s="6">
        <v>4</v>
      </c>
      <c r="J54" s="6">
        <v>200</v>
      </c>
      <c r="K54" s="6">
        <v>7</v>
      </c>
      <c r="L54" s="4" t="s">
        <v>155</v>
      </c>
      <c r="M54" s="4" t="s">
        <v>26</v>
      </c>
      <c r="N54" s="3">
        <v>1150</v>
      </c>
    </row>
    <row r="55" spans="1:14" ht="24.75" customHeight="1">
      <c r="A55" s="3">
        <v>53</v>
      </c>
      <c r="B55" s="4" t="s">
        <v>20</v>
      </c>
      <c r="C55" s="4" t="s">
        <v>152</v>
      </c>
      <c r="D55" s="4" t="s">
        <v>156</v>
      </c>
      <c r="E55" s="4"/>
      <c r="F55" s="4"/>
      <c r="G55" s="4"/>
      <c r="H55" s="4"/>
      <c r="I55" s="6">
        <v>4</v>
      </c>
      <c r="J55" s="6">
        <v>200</v>
      </c>
      <c r="K55" s="6">
        <v>7</v>
      </c>
      <c r="L55" s="4" t="s">
        <v>157</v>
      </c>
      <c r="M55" s="4" t="s">
        <v>26</v>
      </c>
      <c r="N55" s="3">
        <v>1150</v>
      </c>
    </row>
    <row r="56" spans="1:14" ht="24.75" customHeight="1">
      <c r="A56" s="3">
        <v>54</v>
      </c>
      <c r="B56" s="4" t="s">
        <v>20</v>
      </c>
      <c r="C56" s="4" t="s">
        <v>152</v>
      </c>
      <c r="D56" s="4" t="s">
        <v>158</v>
      </c>
      <c r="E56" s="4"/>
      <c r="F56" s="4"/>
      <c r="G56" s="4"/>
      <c r="H56" s="4"/>
      <c r="I56" s="6">
        <v>4</v>
      </c>
      <c r="J56" s="6">
        <v>200</v>
      </c>
      <c r="K56" s="6">
        <v>7</v>
      </c>
      <c r="L56" s="4" t="s">
        <v>159</v>
      </c>
      <c r="M56" s="4" t="s">
        <v>26</v>
      </c>
      <c r="N56" s="3">
        <v>1150</v>
      </c>
    </row>
    <row r="57" spans="1:14" ht="24.75" customHeight="1">
      <c r="A57" s="3">
        <v>55</v>
      </c>
      <c r="B57" s="4" t="s">
        <v>20</v>
      </c>
      <c r="C57" s="4" t="s">
        <v>160</v>
      </c>
      <c r="D57" s="4" t="s">
        <v>161</v>
      </c>
      <c r="E57" s="4"/>
      <c r="F57" s="4"/>
      <c r="G57" s="4"/>
      <c r="H57" s="4"/>
      <c r="I57" s="6">
        <v>4</v>
      </c>
      <c r="J57" s="6">
        <v>200</v>
      </c>
      <c r="K57" s="6">
        <v>7</v>
      </c>
      <c r="L57" s="4" t="s">
        <v>162</v>
      </c>
      <c r="M57" s="4" t="s">
        <v>26</v>
      </c>
      <c r="N57" s="3">
        <v>1150</v>
      </c>
    </row>
    <row r="58" spans="1:14" ht="24.75" customHeight="1">
      <c r="A58" s="3">
        <v>56</v>
      </c>
      <c r="B58" s="4" t="s">
        <v>20</v>
      </c>
      <c r="C58" s="4" t="s">
        <v>160</v>
      </c>
      <c r="D58" s="4" t="s">
        <v>163</v>
      </c>
      <c r="E58" s="4"/>
      <c r="F58" s="4"/>
      <c r="G58" s="4"/>
      <c r="H58" s="4"/>
      <c r="I58" s="6">
        <v>4</v>
      </c>
      <c r="J58" s="6">
        <v>200</v>
      </c>
      <c r="K58" s="6">
        <v>7</v>
      </c>
      <c r="L58" s="4" t="s">
        <v>164</v>
      </c>
      <c r="M58" s="4" t="s">
        <v>26</v>
      </c>
      <c r="N58" s="3">
        <v>1150</v>
      </c>
    </row>
    <row r="59" spans="1:14" ht="24.75" customHeight="1">
      <c r="A59" s="3">
        <v>57</v>
      </c>
      <c r="B59" s="4" t="s">
        <v>20</v>
      </c>
      <c r="C59" s="4" t="s">
        <v>167</v>
      </c>
      <c r="D59" s="4" t="s">
        <v>170</v>
      </c>
      <c r="E59" s="4"/>
      <c r="F59" s="4"/>
      <c r="G59" s="4"/>
      <c r="H59" s="4"/>
      <c r="I59" s="6">
        <v>5</v>
      </c>
      <c r="J59" s="6">
        <v>200</v>
      </c>
      <c r="K59" s="6">
        <v>7</v>
      </c>
      <c r="L59" s="4" t="s">
        <v>171</v>
      </c>
      <c r="M59" s="4" t="s">
        <v>169</v>
      </c>
      <c r="N59" s="3">
        <v>2300</v>
      </c>
    </row>
    <row r="60" spans="1:14" ht="12.75" customHeight="1"/>
    <row r="61" spans="1:14" ht="12.75" customHeight="1"/>
    <row r="62" spans="1:14" ht="12.75" customHeight="1"/>
    <row r="63" spans="1:14" ht="12.75" customHeight="1"/>
    <row r="64" spans="1:1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H1"/>
  </mergeCells>
  <pageMargins left="0.31496062992125984" right="0" top="0.35433070866141736" bottom="0.35433070866141736" header="0" footer="0"/>
  <pageSetup paperSize="9" scale="9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workbookViewId="0"/>
  </sheetViews>
  <sheetFormatPr defaultColWidth="12.6640625" defaultRowHeight="15" customHeight="1"/>
  <cols>
    <col min="1" max="1" width="5.44140625" customWidth="1"/>
    <col min="2" max="2" width="6.21875" customWidth="1"/>
    <col min="3" max="3" width="11.109375" customWidth="1"/>
    <col min="4" max="4" width="8.44140625" customWidth="1"/>
    <col min="5" max="5" width="15.77734375" customWidth="1"/>
    <col min="6" max="6" width="9.44140625" customWidth="1"/>
    <col min="7" max="7" width="13.44140625" customWidth="1"/>
    <col min="8" max="9" width="15.109375" customWidth="1"/>
    <col min="10" max="10" width="16.109375" customWidth="1"/>
    <col min="11" max="11" width="13.77734375" customWidth="1"/>
    <col min="12" max="12" width="33.33203125" customWidth="1"/>
    <col min="13" max="13" width="18.44140625" customWidth="1"/>
    <col min="14" max="26" width="8.6640625" customWidth="1"/>
  </cols>
  <sheetData>
    <row r="1" spans="1:14" ht="12.75" customHeight="1">
      <c r="A1" s="33" t="s">
        <v>950</v>
      </c>
      <c r="B1" s="34"/>
      <c r="C1" s="34"/>
      <c r="D1" s="34"/>
      <c r="E1" s="34"/>
      <c r="F1" s="34"/>
      <c r="G1" s="34"/>
      <c r="H1" s="34"/>
    </row>
    <row r="2" spans="1:14" ht="12.75" customHeight="1">
      <c r="A2" s="17" t="s">
        <v>0</v>
      </c>
      <c r="B2" s="17" t="s">
        <v>1</v>
      </c>
      <c r="C2" s="17" t="s">
        <v>2</v>
      </c>
      <c r="D2" s="17" t="s">
        <v>3</v>
      </c>
      <c r="E2" s="17" t="s">
        <v>943</v>
      </c>
      <c r="F2" s="18" t="s">
        <v>944</v>
      </c>
      <c r="G2" s="18" t="s">
        <v>945</v>
      </c>
      <c r="H2" s="18" t="s">
        <v>13</v>
      </c>
      <c r="I2" s="20" t="s">
        <v>946</v>
      </c>
      <c r="J2" s="20" t="s">
        <v>947</v>
      </c>
      <c r="K2" s="20" t="s">
        <v>948</v>
      </c>
      <c r="L2" s="17" t="s">
        <v>17</v>
      </c>
      <c r="M2" s="17" t="s">
        <v>19</v>
      </c>
      <c r="N2" s="17" t="s">
        <v>18</v>
      </c>
    </row>
    <row r="3" spans="1:14" ht="24.75" customHeight="1">
      <c r="A3" s="3">
        <v>1</v>
      </c>
      <c r="B3" s="4" t="s">
        <v>174</v>
      </c>
      <c r="C3" s="4" t="s">
        <v>21</v>
      </c>
      <c r="D3" s="4" t="s">
        <v>175</v>
      </c>
      <c r="E3" s="4"/>
      <c r="F3" s="4"/>
      <c r="G3" s="4"/>
      <c r="H3" s="4"/>
      <c r="I3" s="6">
        <v>5</v>
      </c>
      <c r="J3" s="6">
        <v>200</v>
      </c>
      <c r="K3" s="6">
        <v>7</v>
      </c>
      <c r="L3" s="4" t="s">
        <v>176</v>
      </c>
      <c r="M3" s="4" t="s">
        <v>177</v>
      </c>
      <c r="N3" s="3">
        <v>1290</v>
      </c>
    </row>
    <row r="4" spans="1:14" ht="24.75" customHeight="1">
      <c r="A4" s="3">
        <v>2</v>
      </c>
      <c r="B4" s="4" t="s">
        <v>174</v>
      </c>
      <c r="C4" s="4" t="s">
        <v>21</v>
      </c>
      <c r="D4" s="4" t="s">
        <v>178</v>
      </c>
      <c r="E4" s="4"/>
      <c r="F4" s="4"/>
      <c r="G4" s="4"/>
      <c r="H4" s="4"/>
      <c r="I4" s="6">
        <v>5</v>
      </c>
      <c r="J4" s="6">
        <v>200</v>
      </c>
      <c r="K4" s="6">
        <v>7</v>
      </c>
      <c r="L4" s="4" t="s">
        <v>179</v>
      </c>
      <c r="M4" s="4" t="s">
        <v>177</v>
      </c>
      <c r="N4" s="3">
        <v>1290</v>
      </c>
    </row>
    <row r="5" spans="1:14" ht="24.75" customHeight="1">
      <c r="A5" s="3">
        <v>3</v>
      </c>
      <c r="B5" s="4" t="s">
        <v>174</v>
      </c>
      <c r="C5" s="4" t="s">
        <v>21</v>
      </c>
      <c r="D5" s="4" t="s">
        <v>180</v>
      </c>
      <c r="E5" s="4"/>
      <c r="F5" s="4"/>
      <c r="G5" s="4"/>
      <c r="H5" s="4"/>
      <c r="I5" s="6">
        <v>5</v>
      </c>
      <c r="J5" s="6">
        <v>200</v>
      </c>
      <c r="K5" s="6">
        <v>7</v>
      </c>
      <c r="L5" s="4" t="s">
        <v>181</v>
      </c>
      <c r="M5" s="4" t="s">
        <v>177</v>
      </c>
      <c r="N5" s="3">
        <v>1290</v>
      </c>
    </row>
    <row r="6" spans="1:14" ht="24.75" customHeight="1">
      <c r="A6" s="3">
        <v>4</v>
      </c>
      <c r="B6" s="4" t="s">
        <v>174</v>
      </c>
      <c r="C6" s="4" t="s">
        <v>21</v>
      </c>
      <c r="D6" s="4" t="s">
        <v>182</v>
      </c>
      <c r="E6" s="4"/>
      <c r="F6" s="4"/>
      <c r="G6" s="4"/>
      <c r="H6" s="4"/>
      <c r="I6" s="6">
        <v>5</v>
      </c>
      <c r="J6" s="6">
        <v>200</v>
      </c>
      <c r="K6" s="6">
        <v>7</v>
      </c>
      <c r="L6" s="4" t="s">
        <v>183</v>
      </c>
      <c r="M6" s="4" t="s">
        <v>177</v>
      </c>
      <c r="N6" s="3">
        <v>1290</v>
      </c>
    </row>
    <row r="7" spans="1:14" ht="24.75" customHeight="1">
      <c r="A7" s="3">
        <v>5</v>
      </c>
      <c r="B7" s="4" t="s">
        <v>174</v>
      </c>
      <c r="C7" s="4" t="s">
        <v>21</v>
      </c>
      <c r="D7" s="4" t="s">
        <v>184</v>
      </c>
      <c r="E7" s="4"/>
      <c r="F7" s="4"/>
      <c r="G7" s="4"/>
      <c r="H7" s="4"/>
      <c r="I7" s="6">
        <v>4</v>
      </c>
      <c r="J7" s="6">
        <v>200</v>
      </c>
      <c r="K7" s="6">
        <v>7</v>
      </c>
      <c r="L7" s="4" t="s">
        <v>185</v>
      </c>
      <c r="M7" s="4" t="s">
        <v>186</v>
      </c>
      <c r="N7" s="3">
        <v>995</v>
      </c>
    </row>
    <row r="8" spans="1:14" ht="24.75" customHeight="1">
      <c r="A8" s="3">
        <v>6</v>
      </c>
      <c r="B8" s="4" t="s">
        <v>174</v>
      </c>
      <c r="C8" s="4" t="s">
        <v>21</v>
      </c>
      <c r="D8" s="4" t="s">
        <v>187</v>
      </c>
      <c r="E8" s="4"/>
      <c r="F8" s="4"/>
      <c r="G8" s="4"/>
      <c r="H8" s="4"/>
      <c r="I8" s="6">
        <v>4</v>
      </c>
      <c r="J8" s="6">
        <v>200</v>
      </c>
      <c r="K8" s="6">
        <v>7</v>
      </c>
      <c r="L8" s="4" t="s">
        <v>188</v>
      </c>
      <c r="M8" s="4" t="s">
        <v>186</v>
      </c>
      <c r="N8" s="3">
        <v>995</v>
      </c>
    </row>
    <row r="9" spans="1:14" ht="24.75" customHeight="1">
      <c r="A9" s="3">
        <v>7</v>
      </c>
      <c r="B9" s="4" t="s">
        <v>174</v>
      </c>
      <c r="C9" s="4" t="s">
        <v>21</v>
      </c>
      <c r="D9" s="4" t="s">
        <v>189</v>
      </c>
      <c r="E9" s="4"/>
      <c r="F9" s="4"/>
      <c r="G9" s="4"/>
      <c r="H9" s="4"/>
      <c r="I9" s="6">
        <v>5</v>
      </c>
      <c r="J9" s="6">
        <v>200</v>
      </c>
      <c r="K9" s="6">
        <v>7</v>
      </c>
      <c r="L9" s="4" t="s">
        <v>190</v>
      </c>
      <c r="M9" s="4" t="s">
        <v>177</v>
      </c>
      <c r="N9" s="3">
        <v>1290</v>
      </c>
    </row>
    <row r="10" spans="1:14" ht="24.75" customHeight="1">
      <c r="A10" s="3">
        <v>8</v>
      </c>
      <c r="B10" s="4" t="s">
        <v>174</v>
      </c>
      <c r="C10" s="4" t="s">
        <v>33</v>
      </c>
      <c r="D10" s="4" t="s">
        <v>192</v>
      </c>
      <c r="E10" s="4"/>
      <c r="F10" s="4"/>
      <c r="G10" s="4"/>
      <c r="H10" s="4"/>
      <c r="I10" s="6">
        <v>5</v>
      </c>
      <c r="J10" s="6">
        <v>200</v>
      </c>
      <c r="K10" s="6">
        <v>7</v>
      </c>
      <c r="L10" s="4" t="s">
        <v>193</v>
      </c>
      <c r="M10" s="4" t="s">
        <v>177</v>
      </c>
      <c r="N10" s="3">
        <v>1290</v>
      </c>
    </row>
    <row r="11" spans="1:14" ht="24.75" customHeight="1">
      <c r="A11" s="3">
        <v>9</v>
      </c>
      <c r="B11" s="4" t="s">
        <v>174</v>
      </c>
      <c r="C11" s="4" t="s">
        <v>33</v>
      </c>
      <c r="D11" s="4" t="s">
        <v>194</v>
      </c>
      <c r="E11" s="4"/>
      <c r="F11" s="4"/>
      <c r="G11" s="4"/>
      <c r="H11" s="4"/>
      <c r="I11" s="6">
        <v>5</v>
      </c>
      <c r="J11" s="6">
        <v>200</v>
      </c>
      <c r="K11" s="6">
        <v>7</v>
      </c>
      <c r="L11" s="4" t="s">
        <v>195</v>
      </c>
      <c r="M11" s="4" t="s">
        <v>177</v>
      </c>
      <c r="N11" s="3">
        <v>1290</v>
      </c>
    </row>
    <row r="12" spans="1:14" ht="24.75" customHeight="1">
      <c r="A12" s="3">
        <v>10</v>
      </c>
      <c r="B12" s="4" t="s">
        <v>174</v>
      </c>
      <c r="C12" s="4" t="s">
        <v>33</v>
      </c>
      <c r="D12" s="4" t="s">
        <v>196</v>
      </c>
      <c r="E12" s="4"/>
      <c r="F12" s="4"/>
      <c r="G12" s="4"/>
      <c r="H12" s="4"/>
      <c r="I12" s="6">
        <v>5</v>
      </c>
      <c r="J12" s="6">
        <v>200</v>
      </c>
      <c r="K12" s="6">
        <v>7</v>
      </c>
      <c r="L12" s="4" t="s">
        <v>197</v>
      </c>
      <c r="M12" s="4" t="s">
        <v>177</v>
      </c>
      <c r="N12" s="3">
        <v>1290</v>
      </c>
    </row>
    <row r="13" spans="1:14" ht="24.75" customHeight="1">
      <c r="A13" s="3">
        <v>11</v>
      </c>
      <c r="B13" s="4" t="s">
        <v>174</v>
      </c>
      <c r="C13" s="4" t="s">
        <v>33</v>
      </c>
      <c r="D13" s="4" t="s">
        <v>198</v>
      </c>
      <c r="E13" s="4"/>
      <c r="F13" s="4"/>
      <c r="G13" s="4"/>
      <c r="H13" s="4"/>
      <c r="I13" s="6">
        <v>5</v>
      </c>
      <c r="J13" s="6">
        <v>200</v>
      </c>
      <c r="K13" s="6">
        <v>7</v>
      </c>
      <c r="L13" s="4" t="s">
        <v>199</v>
      </c>
      <c r="M13" s="4" t="s">
        <v>177</v>
      </c>
      <c r="N13" s="3">
        <v>1290</v>
      </c>
    </row>
    <row r="14" spans="1:14" ht="24.75" customHeight="1">
      <c r="A14" s="3">
        <v>12</v>
      </c>
      <c r="B14" s="4" t="s">
        <v>174</v>
      </c>
      <c r="C14" s="4" t="s">
        <v>33</v>
      </c>
      <c r="D14" s="4" t="s">
        <v>200</v>
      </c>
      <c r="E14" s="4"/>
      <c r="F14" s="4"/>
      <c r="G14" s="4"/>
      <c r="H14" s="4"/>
      <c r="I14" s="6">
        <v>4</v>
      </c>
      <c r="J14" s="6">
        <v>200</v>
      </c>
      <c r="K14" s="6">
        <v>7</v>
      </c>
      <c r="L14" s="4" t="s">
        <v>201</v>
      </c>
      <c r="M14" s="4" t="s">
        <v>186</v>
      </c>
      <c r="N14" s="3">
        <v>995</v>
      </c>
    </row>
    <row r="15" spans="1:14" ht="24.75" customHeight="1">
      <c r="A15" s="3">
        <v>13</v>
      </c>
      <c r="B15" s="4" t="s">
        <v>174</v>
      </c>
      <c r="C15" s="4" t="s">
        <v>33</v>
      </c>
      <c r="D15" s="4" t="s">
        <v>202</v>
      </c>
      <c r="E15" s="4"/>
      <c r="F15" s="4"/>
      <c r="G15" s="4"/>
      <c r="H15" s="4"/>
      <c r="I15" s="6">
        <v>4</v>
      </c>
      <c r="J15" s="6">
        <v>200</v>
      </c>
      <c r="K15" s="6">
        <v>7</v>
      </c>
      <c r="L15" s="4" t="s">
        <v>203</v>
      </c>
      <c r="M15" s="4" t="s">
        <v>186</v>
      </c>
      <c r="N15" s="3">
        <v>995</v>
      </c>
    </row>
    <row r="16" spans="1:14" ht="24.75" customHeight="1">
      <c r="A16" s="3">
        <v>14</v>
      </c>
      <c r="B16" s="4" t="s">
        <v>174</v>
      </c>
      <c r="C16" s="4" t="s">
        <v>33</v>
      </c>
      <c r="D16" s="4" t="s">
        <v>204</v>
      </c>
      <c r="E16" s="4"/>
      <c r="F16" s="4"/>
      <c r="G16" s="4"/>
      <c r="H16" s="4"/>
      <c r="I16" s="6">
        <v>5</v>
      </c>
      <c r="J16" s="6">
        <v>200</v>
      </c>
      <c r="K16" s="6">
        <v>7</v>
      </c>
      <c r="L16" s="4" t="s">
        <v>205</v>
      </c>
      <c r="M16" s="4" t="s">
        <v>177</v>
      </c>
      <c r="N16" s="3">
        <v>1290</v>
      </c>
    </row>
    <row r="17" spans="1:14" ht="24.75" customHeight="1">
      <c r="A17" s="3">
        <v>15</v>
      </c>
      <c r="B17" s="4" t="s">
        <v>174</v>
      </c>
      <c r="C17" s="4" t="s">
        <v>33</v>
      </c>
      <c r="D17" s="4" t="s">
        <v>206</v>
      </c>
      <c r="E17" s="4"/>
      <c r="F17" s="4"/>
      <c r="G17" s="4"/>
      <c r="H17" s="4"/>
      <c r="I17" s="6">
        <v>5</v>
      </c>
      <c r="J17" s="6">
        <v>200</v>
      </c>
      <c r="K17" s="6">
        <v>7</v>
      </c>
      <c r="L17" s="4" t="s">
        <v>207</v>
      </c>
      <c r="M17" s="4" t="s">
        <v>177</v>
      </c>
      <c r="N17" s="3">
        <v>1290</v>
      </c>
    </row>
    <row r="18" spans="1:14" ht="24.75" customHeight="1">
      <c r="A18" s="3">
        <v>16</v>
      </c>
      <c r="B18" s="4" t="s">
        <v>174</v>
      </c>
      <c r="C18" s="4" t="s">
        <v>42</v>
      </c>
      <c r="D18" s="4" t="s">
        <v>208</v>
      </c>
      <c r="E18" s="4"/>
      <c r="F18" s="4"/>
      <c r="G18" s="4"/>
      <c r="H18" s="4"/>
      <c r="I18" s="6">
        <v>5</v>
      </c>
      <c r="J18" s="6">
        <v>200</v>
      </c>
      <c r="K18" s="6">
        <v>7</v>
      </c>
      <c r="L18" s="4" t="s">
        <v>209</v>
      </c>
      <c r="M18" s="4" t="s">
        <v>177</v>
      </c>
      <c r="N18" s="3">
        <v>1290</v>
      </c>
    </row>
    <row r="19" spans="1:14" ht="24.75" customHeight="1">
      <c r="A19" s="3">
        <v>17</v>
      </c>
      <c r="B19" s="4" t="s">
        <v>174</v>
      </c>
      <c r="C19" s="4" t="s">
        <v>42</v>
      </c>
      <c r="D19" s="4" t="s">
        <v>210</v>
      </c>
      <c r="E19" s="4"/>
      <c r="F19" s="4"/>
      <c r="G19" s="4"/>
      <c r="H19" s="4"/>
      <c r="I19" s="6">
        <v>5</v>
      </c>
      <c r="J19" s="6">
        <v>200</v>
      </c>
      <c r="K19" s="6">
        <v>7</v>
      </c>
      <c r="L19" s="4" t="s">
        <v>211</v>
      </c>
      <c r="M19" s="4" t="s">
        <v>177</v>
      </c>
      <c r="N19" s="3">
        <v>1290</v>
      </c>
    </row>
    <row r="20" spans="1:14" ht="24.75" customHeight="1">
      <c r="A20" s="3">
        <v>18</v>
      </c>
      <c r="B20" s="4" t="s">
        <v>174</v>
      </c>
      <c r="C20" s="4" t="s">
        <v>42</v>
      </c>
      <c r="D20" s="4" t="s">
        <v>212</v>
      </c>
      <c r="E20" s="4"/>
      <c r="F20" s="4"/>
      <c r="G20" s="4"/>
      <c r="H20" s="4"/>
      <c r="I20" s="6">
        <v>5</v>
      </c>
      <c r="J20" s="6">
        <v>200</v>
      </c>
      <c r="K20" s="6">
        <v>7</v>
      </c>
      <c r="L20" s="4" t="s">
        <v>213</v>
      </c>
      <c r="M20" s="4" t="s">
        <v>177</v>
      </c>
      <c r="N20" s="3">
        <v>1290</v>
      </c>
    </row>
    <row r="21" spans="1:14" ht="24.75" customHeight="1">
      <c r="A21" s="3">
        <v>19</v>
      </c>
      <c r="B21" s="4" t="s">
        <v>174</v>
      </c>
      <c r="C21" s="4" t="s">
        <v>42</v>
      </c>
      <c r="D21" s="4" t="s">
        <v>214</v>
      </c>
      <c r="E21" s="4"/>
      <c r="F21" s="4"/>
      <c r="G21" s="4"/>
      <c r="H21" s="4"/>
      <c r="I21" s="6">
        <v>5</v>
      </c>
      <c r="J21" s="6">
        <v>200</v>
      </c>
      <c r="K21" s="6">
        <v>7</v>
      </c>
      <c r="L21" s="4" t="s">
        <v>215</v>
      </c>
      <c r="M21" s="4" t="s">
        <v>177</v>
      </c>
      <c r="N21" s="3">
        <v>1290</v>
      </c>
    </row>
    <row r="22" spans="1:14" ht="24.75" customHeight="1">
      <c r="A22" s="3">
        <v>20</v>
      </c>
      <c r="B22" s="4" t="s">
        <v>174</v>
      </c>
      <c r="C22" s="4" t="s">
        <v>42</v>
      </c>
      <c r="D22" s="4" t="s">
        <v>216</v>
      </c>
      <c r="E22" s="4"/>
      <c r="F22" s="4"/>
      <c r="G22" s="4"/>
      <c r="H22" s="4"/>
      <c r="I22" s="6">
        <v>4</v>
      </c>
      <c r="J22" s="6">
        <v>200</v>
      </c>
      <c r="K22" s="6">
        <v>7</v>
      </c>
      <c r="L22" s="4" t="s">
        <v>217</v>
      </c>
      <c r="M22" s="4" t="s">
        <v>186</v>
      </c>
      <c r="N22" s="3">
        <v>995</v>
      </c>
    </row>
    <row r="23" spans="1:14" ht="24.75" customHeight="1">
      <c r="A23" s="3">
        <v>21</v>
      </c>
      <c r="B23" s="4" t="s">
        <v>174</v>
      </c>
      <c r="C23" s="4" t="s">
        <v>42</v>
      </c>
      <c r="D23" s="4" t="s">
        <v>218</v>
      </c>
      <c r="E23" s="4"/>
      <c r="F23" s="4"/>
      <c r="G23" s="4"/>
      <c r="H23" s="4"/>
      <c r="I23" s="6">
        <v>4</v>
      </c>
      <c r="J23" s="6">
        <v>200</v>
      </c>
      <c r="K23" s="6">
        <v>7</v>
      </c>
      <c r="L23" s="4" t="s">
        <v>219</v>
      </c>
      <c r="M23" s="4" t="s">
        <v>186</v>
      </c>
      <c r="N23" s="3">
        <v>995</v>
      </c>
    </row>
    <row r="24" spans="1:14" ht="24.75" customHeight="1">
      <c r="A24" s="3">
        <v>22</v>
      </c>
      <c r="B24" s="4" t="s">
        <v>174</v>
      </c>
      <c r="C24" s="4" t="s">
        <v>51</v>
      </c>
      <c r="D24" s="4" t="s">
        <v>222</v>
      </c>
      <c r="E24" s="4"/>
      <c r="F24" s="4"/>
      <c r="G24" s="4"/>
      <c r="H24" s="4"/>
      <c r="I24" s="6">
        <v>5</v>
      </c>
      <c r="J24" s="6">
        <v>200</v>
      </c>
      <c r="K24" s="6">
        <v>7</v>
      </c>
      <c r="L24" s="4" t="s">
        <v>223</v>
      </c>
      <c r="M24" s="4" t="s">
        <v>177</v>
      </c>
      <c r="N24" s="3">
        <v>1290</v>
      </c>
    </row>
    <row r="25" spans="1:14" ht="24.75" customHeight="1">
      <c r="A25" s="3">
        <v>23</v>
      </c>
      <c r="B25" s="4" t="s">
        <v>174</v>
      </c>
      <c r="C25" s="4" t="s">
        <v>51</v>
      </c>
      <c r="D25" s="4" t="s">
        <v>224</v>
      </c>
      <c r="E25" s="4"/>
      <c r="F25" s="4"/>
      <c r="G25" s="4"/>
      <c r="H25" s="4"/>
      <c r="I25" s="6">
        <v>5</v>
      </c>
      <c r="J25" s="6">
        <v>200</v>
      </c>
      <c r="K25" s="6">
        <v>7</v>
      </c>
      <c r="L25" s="4" t="s">
        <v>951</v>
      </c>
      <c r="M25" s="4" t="s">
        <v>177</v>
      </c>
      <c r="N25" s="3">
        <v>1290</v>
      </c>
    </row>
    <row r="26" spans="1:14" ht="24.75" customHeight="1">
      <c r="A26" s="3">
        <v>24</v>
      </c>
      <c r="B26" s="4" t="s">
        <v>174</v>
      </c>
      <c r="C26" s="4" t="s">
        <v>51</v>
      </c>
      <c r="D26" s="4" t="s">
        <v>225</v>
      </c>
      <c r="E26" s="4"/>
      <c r="F26" s="4"/>
      <c r="G26" s="4"/>
      <c r="H26" s="4"/>
      <c r="I26" s="6">
        <v>5</v>
      </c>
      <c r="J26" s="6">
        <v>200</v>
      </c>
      <c r="K26" s="6">
        <v>7</v>
      </c>
      <c r="L26" s="4" t="s">
        <v>226</v>
      </c>
      <c r="M26" s="4" t="s">
        <v>177</v>
      </c>
      <c r="N26" s="3">
        <v>1290</v>
      </c>
    </row>
    <row r="27" spans="1:14" ht="24.75" customHeight="1">
      <c r="A27" s="3">
        <v>25</v>
      </c>
      <c r="B27" s="4" t="s">
        <v>174</v>
      </c>
      <c r="C27" s="4" t="s">
        <v>51</v>
      </c>
      <c r="D27" s="4" t="s">
        <v>227</v>
      </c>
      <c r="E27" s="4"/>
      <c r="F27" s="4"/>
      <c r="G27" s="4"/>
      <c r="H27" s="4"/>
      <c r="I27" s="6">
        <v>5</v>
      </c>
      <c r="J27" s="6">
        <v>200</v>
      </c>
      <c r="K27" s="6">
        <v>7</v>
      </c>
      <c r="L27" s="4" t="s">
        <v>151</v>
      </c>
      <c r="M27" s="4" t="s">
        <v>177</v>
      </c>
      <c r="N27" s="3">
        <v>1290</v>
      </c>
    </row>
    <row r="28" spans="1:14" ht="24.75" customHeight="1">
      <c r="A28" s="3">
        <v>26</v>
      </c>
      <c r="B28" s="4" t="s">
        <v>174</v>
      </c>
      <c r="C28" s="4" t="s">
        <v>51</v>
      </c>
      <c r="D28" s="4" t="s">
        <v>228</v>
      </c>
      <c r="E28" s="4"/>
      <c r="F28" s="4"/>
      <c r="G28" s="4"/>
      <c r="H28" s="4"/>
      <c r="I28" s="6">
        <v>4</v>
      </c>
      <c r="J28" s="6">
        <v>200</v>
      </c>
      <c r="K28" s="6">
        <v>7</v>
      </c>
      <c r="L28" s="4" t="s">
        <v>229</v>
      </c>
      <c r="M28" s="4" t="s">
        <v>186</v>
      </c>
      <c r="N28" s="3">
        <v>995</v>
      </c>
    </row>
    <row r="29" spans="1:14" ht="24.75" customHeight="1">
      <c r="A29" s="3">
        <v>27</v>
      </c>
      <c r="B29" s="4" t="s">
        <v>174</v>
      </c>
      <c r="C29" s="4" t="s">
        <v>51</v>
      </c>
      <c r="D29" s="4" t="s">
        <v>230</v>
      </c>
      <c r="E29" s="4"/>
      <c r="F29" s="4"/>
      <c r="G29" s="4"/>
      <c r="H29" s="4"/>
      <c r="I29" s="6">
        <v>4</v>
      </c>
      <c r="J29" s="6">
        <v>200</v>
      </c>
      <c r="K29" s="6">
        <v>7</v>
      </c>
      <c r="L29" s="4" t="s">
        <v>231</v>
      </c>
      <c r="M29" s="4" t="s">
        <v>186</v>
      </c>
      <c r="N29" s="3">
        <v>995</v>
      </c>
    </row>
    <row r="30" spans="1:14" ht="24.75" customHeight="1">
      <c r="A30" s="3">
        <v>28</v>
      </c>
      <c r="B30" s="4" t="s">
        <v>174</v>
      </c>
      <c r="C30" s="4" t="s">
        <v>51</v>
      </c>
      <c r="D30" s="4" t="s">
        <v>232</v>
      </c>
      <c r="E30" s="4"/>
      <c r="F30" s="4"/>
      <c r="G30" s="4"/>
      <c r="H30" s="4"/>
      <c r="I30" s="6">
        <v>5</v>
      </c>
      <c r="J30" s="6">
        <v>200</v>
      </c>
      <c r="K30" s="6">
        <v>7</v>
      </c>
      <c r="L30" s="4" t="s">
        <v>233</v>
      </c>
      <c r="M30" s="4" t="s">
        <v>177</v>
      </c>
      <c r="N30" s="3">
        <v>1290</v>
      </c>
    </row>
    <row r="31" spans="1:14" ht="24.75" customHeight="1">
      <c r="A31" s="3">
        <v>29</v>
      </c>
      <c r="B31" s="4" t="s">
        <v>174</v>
      </c>
      <c r="C31" s="4" t="s">
        <v>51</v>
      </c>
      <c r="D31" s="4" t="s">
        <v>234</v>
      </c>
      <c r="E31" s="4"/>
      <c r="F31" s="4"/>
      <c r="G31" s="4"/>
      <c r="H31" s="4"/>
      <c r="I31" s="6">
        <v>5</v>
      </c>
      <c r="J31" s="6">
        <v>200</v>
      </c>
      <c r="K31" s="6">
        <v>7</v>
      </c>
      <c r="L31" s="4" t="s">
        <v>235</v>
      </c>
      <c r="M31" s="4" t="s">
        <v>177</v>
      </c>
      <c r="N31" s="3">
        <v>1290</v>
      </c>
    </row>
    <row r="32" spans="1:14" ht="24.75" customHeight="1">
      <c r="A32" s="3">
        <v>30</v>
      </c>
      <c r="B32" s="4" t="s">
        <v>174</v>
      </c>
      <c r="C32" s="4" t="s">
        <v>60</v>
      </c>
      <c r="D32" s="4" t="s">
        <v>236</v>
      </c>
      <c r="E32" s="4"/>
      <c r="F32" s="4"/>
      <c r="G32" s="4"/>
      <c r="H32" s="4"/>
      <c r="I32" s="6">
        <v>5</v>
      </c>
      <c r="J32" s="6">
        <v>200</v>
      </c>
      <c r="K32" s="6">
        <v>7</v>
      </c>
      <c r="L32" s="4" t="s">
        <v>237</v>
      </c>
      <c r="M32" s="4" t="s">
        <v>177</v>
      </c>
      <c r="N32" s="3">
        <v>1290</v>
      </c>
    </row>
    <row r="33" spans="1:14" ht="24.75" customHeight="1">
      <c r="A33" s="3">
        <v>31</v>
      </c>
      <c r="B33" s="4" t="s">
        <v>174</v>
      </c>
      <c r="C33" s="4" t="s">
        <v>60</v>
      </c>
      <c r="D33" s="4" t="s">
        <v>238</v>
      </c>
      <c r="E33" s="4"/>
      <c r="F33" s="4"/>
      <c r="G33" s="4"/>
      <c r="H33" s="4"/>
      <c r="I33" s="6">
        <v>5</v>
      </c>
      <c r="J33" s="6">
        <v>200</v>
      </c>
      <c r="K33" s="6">
        <v>7</v>
      </c>
      <c r="L33" s="4" t="s">
        <v>239</v>
      </c>
      <c r="M33" s="4" t="s">
        <v>177</v>
      </c>
      <c r="N33" s="3">
        <v>1290</v>
      </c>
    </row>
    <row r="34" spans="1:14" ht="24.75" customHeight="1">
      <c r="A34" s="3">
        <v>32</v>
      </c>
      <c r="B34" s="4" t="s">
        <v>174</v>
      </c>
      <c r="C34" s="4" t="s">
        <v>60</v>
      </c>
      <c r="D34" s="4" t="s">
        <v>240</v>
      </c>
      <c r="E34" s="4"/>
      <c r="F34" s="4"/>
      <c r="G34" s="4"/>
      <c r="H34" s="4"/>
      <c r="I34" s="6">
        <v>5</v>
      </c>
      <c r="J34" s="6">
        <v>200</v>
      </c>
      <c r="K34" s="6">
        <v>7</v>
      </c>
      <c r="L34" s="4" t="s">
        <v>241</v>
      </c>
      <c r="M34" s="4" t="s">
        <v>177</v>
      </c>
      <c r="N34" s="3">
        <v>1290</v>
      </c>
    </row>
    <row r="35" spans="1:14" ht="24.75" customHeight="1">
      <c r="A35" s="3">
        <v>33</v>
      </c>
      <c r="B35" s="4" t="s">
        <v>174</v>
      </c>
      <c r="C35" s="4" t="s">
        <v>60</v>
      </c>
      <c r="D35" s="4" t="s">
        <v>242</v>
      </c>
      <c r="E35" s="4"/>
      <c r="F35" s="4"/>
      <c r="G35" s="4"/>
      <c r="H35" s="4"/>
      <c r="I35" s="6">
        <v>5</v>
      </c>
      <c r="J35" s="6">
        <v>200</v>
      </c>
      <c r="K35" s="6">
        <v>7</v>
      </c>
      <c r="L35" s="4" t="s">
        <v>243</v>
      </c>
      <c r="M35" s="4" t="s">
        <v>177</v>
      </c>
      <c r="N35" s="3">
        <v>1290</v>
      </c>
    </row>
    <row r="36" spans="1:14" ht="24.75" customHeight="1">
      <c r="A36" s="3">
        <v>34</v>
      </c>
      <c r="B36" s="4" t="s">
        <v>174</v>
      </c>
      <c r="C36" s="4" t="s">
        <v>60</v>
      </c>
      <c r="D36" s="4" t="s">
        <v>244</v>
      </c>
      <c r="E36" s="4"/>
      <c r="F36" s="4"/>
      <c r="G36" s="4"/>
      <c r="H36" s="4"/>
      <c r="I36" s="6">
        <v>4</v>
      </c>
      <c r="J36" s="6">
        <v>200</v>
      </c>
      <c r="K36" s="6">
        <v>7</v>
      </c>
      <c r="L36" s="4" t="s">
        <v>245</v>
      </c>
      <c r="M36" s="4" t="s">
        <v>186</v>
      </c>
      <c r="N36" s="3">
        <v>995</v>
      </c>
    </row>
    <row r="37" spans="1:14" ht="24.75" customHeight="1">
      <c r="A37" s="3">
        <v>35</v>
      </c>
      <c r="B37" s="4" t="s">
        <v>174</v>
      </c>
      <c r="C37" s="4" t="s">
        <v>60</v>
      </c>
      <c r="D37" s="4" t="s">
        <v>246</v>
      </c>
      <c r="E37" s="4"/>
      <c r="F37" s="4"/>
      <c r="G37" s="4"/>
      <c r="H37" s="4"/>
      <c r="I37" s="6">
        <v>4</v>
      </c>
      <c r="J37" s="6">
        <v>200</v>
      </c>
      <c r="K37" s="6">
        <v>7</v>
      </c>
      <c r="L37" s="4" t="s">
        <v>952</v>
      </c>
      <c r="M37" s="4" t="s">
        <v>186</v>
      </c>
      <c r="N37" s="3">
        <v>995</v>
      </c>
    </row>
    <row r="38" spans="1:14" ht="24.75" customHeight="1">
      <c r="A38" s="3">
        <v>36</v>
      </c>
      <c r="B38" s="4" t="s">
        <v>174</v>
      </c>
      <c r="C38" s="4" t="s">
        <v>60</v>
      </c>
      <c r="D38" s="4" t="s">
        <v>247</v>
      </c>
      <c r="E38" s="4"/>
      <c r="F38" s="4"/>
      <c r="G38" s="4"/>
      <c r="H38" s="4"/>
      <c r="I38" s="6">
        <v>5</v>
      </c>
      <c r="J38" s="6">
        <v>200</v>
      </c>
      <c r="K38" s="6">
        <v>7</v>
      </c>
      <c r="L38" s="4" t="s">
        <v>248</v>
      </c>
      <c r="M38" s="4" t="s">
        <v>177</v>
      </c>
      <c r="N38" s="3">
        <v>1290</v>
      </c>
    </row>
    <row r="39" spans="1:14" ht="24.75" customHeight="1">
      <c r="A39" s="3">
        <v>37</v>
      </c>
      <c r="B39" s="4" t="s">
        <v>174</v>
      </c>
      <c r="C39" s="4" t="s">
        <v>60</v>
      </c>
      <c r="D39" s="4" t="s">
        <v>249</v>
      </c>
      <c r="E39" s="4"/>
      <c r="F39" s="4"/>
      <c r="G39" s="4"/>
      <c r="H39" s="4"/>
      <c r="I39" s="6">
        <v>5</v>
      </c>
      <c r="J39" s="6">
        <v>200</v>
      </c>
      <c r="K39" s="6">
        <v>7</v>
      </c>
      <c r="L39" s="4" t="s">
        <v>250</v>
      </c>
      <c r="M39" s="4" t="s">
        <v>177</v>
      </c>
      <c r="N39" s="3">
        <v>1290</v>
      </c>
    </row>
    <row r="40" spans="1:14" ht="24.75" customHeight="1">
      <c r="A40" s="3">
        <v>38</v>
      </c>
      <c r="B40" s="4" t="s">
        <v>174</v>
      </c>
      <c r="C40" s="4" t="s">
        <v>69</v>
      </c>
      <c r="D40" s="4" t="s">
        <v>251</v>
      </c>
      <c r="E40" s="4"/>
      <c r="F40" s="4"/>
      <c r="G40" s="4"/>
      <c r="H40" s="4"/>
      <c r="I40" s="6">
        <v>5</v>
      </c>
      <c r="J40" s="6">
        <v>200</v>
      </c>
      <c r="K40" s="6">
        <v>7</v>
      </c>
      <c r="L40" s="4" t="s">
        <v>252</v>
      </c>
      <c r="M40" s="4" t="s">
        <v>177</v>
      </c>
      <c r="N40" s="3">
        <v>1290</v>
      </c>
    </row>
    <row r="41" spans="1:14" ht="24.75" customHeight="1">
      <c r="A41" s="3">
        <v>39</v>
      </c>
      <c r="B41" s="4" t="s">
        <v>174</v>
      </c>
      <c r="C41" s="4" t="s">
        <v>69</v>
      </c>
      <c r="D41" s="4" t="s">
        <v>253</v>
      </c>
      <c r="E41" s="4"/>
      <c r="F41" s="4"/>
      <c r="G41" s="4"/>
      <c r="H41" s="4"/>
      <c r="I41" s="6">
        <v>5</v>
      </c>
      <c r="J41" s="6">
        <v>200</v>
      </c>
      <c r="K41" s="6">
        <v>7</v>
      </c>
      <c r="L41" s="4" t="s">
        <v>254</v>
      </c>
      <c r="M41" s="4" t="s">
        <v>177</v>
      </c>
      <c r="N41" s="3">
        <v>1290</v>
      </c>
    </row>
    <row r="42" spans="1:14" ht="24.75" customHeight="1">
      <c r="A42" s="3">
        <v>40</v>
      </c>
      <c r="B42" s="4" t="s">
        <v>174</v>
      </c>
      <c r="C42" s="4" t="s">
        <v>69</v>
      </c>
      <c r="D42" s="4" t="s">
        <v>255</v>
      </c>
      <c r="E42" s="4"/>
      <c r="F42" s="4"/>
      <c r="G42" s="4"/>
      <c r="H42" s="4"/>
      <c r="I42" s="6">
        <v>5</v>
      </c>
      <c r="J42" s="6">
        <v>200</v>
      </c>
      <c r="K42" s="6">
        <v>7</v>
      </c>
      <c r="L42" s="4" t="s">
        <v>256</v>
      </c>
      <c r="M42" s="4" t="s">
        <v>177</v>
      </c>
      <c r="N42" s="3">
        <v>1290</v>
      </c>
    </row>
    <row r="43" spans="1:14" ht="24.75" customHeight="1">
      <c r="A43" s="3">
        <v>41</v>
      </c>
      <c r="B43" s="4" t="s">
        <v>174</v>
      </c>
      <c r="C43" s="4" t="s">
        <v>69</v>
      </c>
      <c r="D43" s="4" t="s">
        <v>257</v>
      </c>
      <c r="E43" s="4"/>
      <c r="F43" s="4"/>
      <c r="G43" s="4"/>
      <c r="H43" s="4"/>
      <c r="I43" s="6">
        <v>5</v>
      </c>
      <c r="J43" s="6">
        <v>200</v>
      </c>
      <c r="K43" s="6">
        <v>7</v>
      </c>
      <c r="L43" s="4" t="s">
        <v>258</v>
      </c>
      <c r="M43" s="4" t="s">
        <v>177</v>
      </c>
      <c r="N43" s="3">
        <v>1290</v>
      </c>
    </row>
    <row r="44" spans="1:14" ht="24.75" customHeight="1">
      <c r="A44" s="3">
        <v>42</v>
      </c>
      <c r="B44" s="4" t="s">
        <v>174</v>
      </c>
      <c r="C44" s="4" t="s">
        <v>69</v>
      </c>
      <c r="D44" s="4" t="s">
        <v>260</v>
      </c>
      <c r="E44" s="4"/>
      <c r="F44" s="4"/>
      <c r="G44" s="4"/>
      <c r="H44" s="4"/>
      <c r="I44" s="6">
        <v>4</v>
      </c>
      <c r="J44" s="6">
        <v>200</v>
      </c>
      <c r="K44" s="6">
        <v>7</v>
      </c>
      <c r="L44" s="4" t="s">
        <v>261</v>
      </c>
      <c r="M44" s="4" t="s">
        <v>186</v>
      </c>
      <c r="N44" s="3">
        <v>995</v>
      </c>
    </row>
    <row r="45" spans="1:14" ht="24.75" customHeight="1">
      <c r="A45" s="3">
        <v>43</v>
      </c>
      <c r="B45" s="4" t="s">
        <v>174</v>
      </c>
      <c r="C45" s="4" t="s">
        <v>69</v>
      </c>
      <c r="D45" s="4" t="s">
        <v>262</v>
      </c>
      <c r="E45" s="4"/>
      <c r="F45" s="4"/>
      <c r="G45" s="4"/>
      <c r="H45" s="4"/>
      <c r="I45" s="6">
        <v>5</v>
      </c>
      <c r="J45" s="6">
        <v>200</v>
      </c>
      <c r="K45" s="6">
        <v>7</v>
      </c>
      <c r="L45" s="4" t="s">
        <v>263</v>
      </c>
      <c r="M45" s="4" t="s">
        <v>177</v>
      </c>
      <c r="N45" s="3">
        <v>1290</v>
      </c>
    </row>
    <row r="46" spans="1:14" ht="24.75" customHeight="1">
      <c r="A46" s="3">
        <v>44</v>
      </c>
      <c r="B46" s="4" t="s">
        <v>174</v>
      </c>
      <c r="C46" s="4" t="s">
        <v>69</v>
      </c>
      <c r="D46" s="4" t="s">
        <v>264</v>
      </c>
      <c r="E46" s="4"/>
      <c r="F46" s="4"/>
      <c r="G46" s="4"/>
      <c r="H46" s="4"/>
      <c r="I46" s="6">
        <v>5</v>
      </c>
      <c r="J46" s="6">
        <v>200</v>
      </c>
      <c r="K46" s="6">
        <v>7</v>
      </c>
      <c r="L46" s="4" t="s">
        <v>265</v>
      </c>
      <c r="M46" s="4" t="s">
        <v>177</v>
      </c>
      <c r="N46" s="3">
        <v>1290</v>
      </c>
    </row>
    <row r="47" spans="1:14" ht="24.75" customHeight="1">
      <c r="A47" s="3">
        <v>45</v>
      </c>
      <c r="B47" s="4" t="s">
        <v>174</v>
      </c>
      <c r="C47" s="4" t="s">
        <v>77</v>
      </c>
      <c r="D47" s="4" t="s">
        <v>266</v>
      </c>
      <c r="E47" s="4"/>
      <c r="F47" s="4"/>
      <c r="G47" s="4"/>
      <c r="H47" s="4"/>
      <c r="I47" s="6">
        <v>5</v>
      </c>
      <c r="J47" s="6">
        <v>200</v>
      </c>
      <c r="K47" s="6">
        <v>7</v>
      </c>
      <c r="L47" s="4" t="s">
        <v>267</v>
      </c>
      <c r="M47" s="4" t="s">
        <v>177</v>
      </c>
      <c r="N47" s="3">
        <v>1290</v>
      </c>
    </row>
    <row r="48" spans="1:14" ht="24.75" customHeight="1">
      <c r="A48" s="3">
        <v>46</v>
      </c>
      <c r="B48" s="4" t="s">
        <v>174</v>
      </c>
      <c r="C48" s="4" t="s">
        <v>77</v>
      </c>
      <c r="D48" s="4" t="s">
        <v>268</v>
      </c>
      <c r="E48" s="4"/>
      <c r="F48" s="4"/>
      <c r="G48" s="4"/>
      <c r="H48" s="4"/>
      <c r="I48" s="6">
        <v>5</v>
      </c>
      <c r="J48" s="6">
        <v>200</v>
      </c>
      <c r="K48" s="6">
        <v>7</v>
      </c>
      <c r="L48" s="4" t="s">
        <v>269</v>
      </c>
      <c r="M48" s="4" t="s">
        <v>177</v>
      </c>
      <c r="N48" s="3">
        <v>1290</v>
      </c>
    </row>
    <row r="49" spans="1:14" ht="24.75" customHeight="1">
      <c r="A49" s="3">
        <v>47</v>
      </c>
      <c r="B49" s="4" t="s">
        <v>174</v>
      </c>
      <c r="C49" s="4" t="s">
        <v>77</v>
      </c>
      <c r="D49" s="4" t="s">
        <v>270</v>
      </c>
      <c r="E49" s="4"/>
      <c r="F49" s="4"/>
      <c r="G49" s="4"/>
      <c r="H49" s="4"/>
      <c r="I49" s="6">
        <v>5</v>
      </c>
      <c r="J49" s="6">
        <v>200</v>
      </c>
      <c r="K49" s="6">
        <v>7</v>
      </c>
      <c r="L49" s="4" t="s">
        <v>271</v>
      </c>
      <c r="M49" s="4" t="s">
        <v>177</v>
      </c>
      <c r="N49" s="3">
        <v>1290</v>
      </c>
    </row>
    <row r="50" spans="1:14" ht="24.75" customHeight="1">
      <c r="A50" s="3">
        <v>48</v>
      </c>
      <c r="B50" s="4" t="s">
        <v>174</v>
      </c>
      <c r="C50" s="4" t="s">
        <v>77</v>
      </c>
      <c r="D50" s="4" t="s">
        <v>272</v>
      </c>
      <c r="E50" s="4"/>
      <c r="F50" s="4"/>
      <c r="G50" s="4"/>
      <c r="H50" s="4"/>
      <c r="I50" s="6">
        <v>5</v>
      </c>
      <c r="J50" s="6">
        <v>200</v>
      </c>
      <c r="K50" s="6">
        <v>7</v>
      </c>
      <c r="L50" s="4" t="s">
        <v>273</v>
      </c>
      <c r="M50" s="4" t="s">
        <v>177</v>
      </c>
      <c r="N50" s="3">
        <v>1290</v>
      </c>
    </row>
    <row r="51" spans="1:14" ht="24.75" customHeight="1">
      <c r="A51" s="3">
        <v>49</v>
      </c>
      <c r="B51" s="4" t="s">
        <v>174</v>
      </c>
      <c r="C51" s="4" t="s">
        <v>77</v>
      </c>
      <c r="D51" s="4" t="s">
        <v>274</v>
      </c>
      <c r="E51" s="4"/>
      <c r="F51" s="4"/>
      <c r="G51" s="4"/>
      <c r="H51" s="4"/>
      <c r="I51" s="6">
        <v>4</v>
      </c>
      <c r="J51" s="6">
        <v>200</v>
      </c>
      <c r="K51" s="6">
        <v>7</v>
      </c>
      <c r="L51" s="4" t="s">
        <v>275</v>
      </c>
      <c r="M51" s="4" t="s">
        <v>186</v>
      </c>
      <c r="N51" s="3">
        <v>995</v>
      </c>
    </row>
    <row r="52" spans="1:14" ht="24.75" customHeight="1">
      <c r="A52" s="3">
        <v>50</v>
      </c>
      <c r="B52" s="4" t="s">
        <v>174</v>
      </c>
      <c r="C52" s="4" t="s">
        <v>77</v>
      </c>
      <c r="D52" s="4" t="s">
        <v>276</v>
      </c>
      <c r="E52" s="4"/>
      <c r="F52" s="4"/>
      <c r="G52" s="4"/>
      <c r="H52" s="4"/>
      <c r="I52" s="6">
        <v>4</v>
      </c>
      <c r="J52" s="6">
        <v>200</v>
      </c>
      <c r="K52" s="6">
        <v>7</v>
      </c>
      <c r="L52" s="4" t="s">
        <v>277</v>
      </c>
      <c r="M52" s="4" t="s">
        <v>186</v>
      </c>
      <c r="N52" s="3">
        <v>995</v>
      </c>
    </row>
    <row r="53" spans="1:14" ht="24.75" customHeight="1">
      <c r="A53" s="3">
        <v>51</v>
      </c>
      <c r="B53" s="4" t="s">
        <v>174</v>
      </c>
      <c r="C53" s="4" t="s">
        <v>77</v>
      </c>
      <c r="D53" s="4" t="s">
        <v>278</v>
      </c>
      <c r="E53" s="4"/>
      <c r="F53" s="4"/>
      <c r="G53" s="4"/>
      <c r="H53" s="4"/>
      <c r="I53" s="6">
        <v>5</v>
      </c>
      <c r="J53" s="6">
        <v>200</v>
      </c>
      <c r="K53" s="6">
        <v>7</v>
      </c>
      <c r="L53" s="4" t="s">
        <v>279</v>
      </c>
      <c r="M53" s="4" t="s">
        <v>177</v>
      </c>
      <c r="N53" s="3">
        <v>1290</v>
      </c>
    </row>
    <row r="54" spans="1:14" ht="24.75" customHeight="1">
      <c r="A54" s="3">
        <v>52</v>
      </c>
      <c r="B54" s="4" t="s">
        <v>174</v>
      </c>
      <c r="C54" s="4" t="s">
        <v>77</v>
      </c>
      <c r="D54" s="4" t="s">
        <v>280</v>
      </c>
      <c r="E54" s="4"/>
      <c r="F54" s="4"/>
      <c r="G54" s="4"/>
      <c r="H54" s="4"/>
      <c r="I54" s="6">
        <v>5</v>
      </c>
      <c r="J54" s="6">
        <v>200</v>
      </c>
      <c r="K54" s="6">
        <v>7</v>
      </c>
      <c r="L54" s="4" t="s">
        <v>281</v>
      </c>
      <c r="M54" s="4" t="s">
        <v>177</v>
      </c>
      <c r="N54" s="3">
        <v>1290</v>
      </c>
    </row>
    <row r="55" spans="1:14" ht="24.75" customHeight="1">
      <c r="A55" s="3">
        <v>53</v>
      </c>
      <c r="B55" s="4" t="s">
        <v>174</v>
      </c>
      <c r="C55" s="4" t="s">
        <v>85</v>
      </c>
      <c r="D55" s="4" t="s">
        <v>282</v>
      </c>
      <c r="E55" s="4"/>
      <c r="F55" s="4"/>
      <c r="G55" s="4"/>
      <c r="H55" s="4"/>
      <c r="I55" s="6">
        <v>5</v>
      </c>
      <c r="J55" s="6">
        <v>200</v>
      </c>
      <c r="K55" s="6">
        <v>7</v>
      </c>
      <c r="L55" s="4" t="s">
        <v>283</v>
      </c>
      <c r="M55" s="4" t="s">
        <v>177</v>
      </c>
      <c r="N55" s="3">
        <v>1290</v>
      </c>
    </row>
    <row r="56" spans="1:14" ht="24.75" customHeight="1">
      <c r="A56" s="3">
        <v>54</v>
      </c>
      <c r="B56" s="4" t="s">
        <v>174</v>
      </c>
      <c r="C56" s="4" t="s">
        <v>85</v>
      </c>
      <c r="D56" s="4" t="s">
        <v>284</v>
      </c>
      <c r="E56" s="4"/>
      <c r="F56" s="4"/>
      <c r="G56" s="4"/>
      <c r="H56" s="4"/>
      <c r="I56" s="6">
        <v>5</v>
      </c>
      <c r="J56" s="6">
        <v>200</v>
      </c>
      <c r="K56" s="6">
        <v>7</v>
      </c>
      <c r="L56" s="4" t="s">
        <v>285</v>
      </c>
      <c r="M56" s="4" t="s">
        <v>177</v>
      </c>
      <c r="N56" s="3">
        <v>1290</v>
      </c>
    </row>
    <row r="57" spans="1:14" ht="24.75" customHeight="1">
      <c r="A57" s="3">
        <v>55</v>
      </c>
      <c r="B57" s="4" t="s">
        <v>174</v>
      </c>
      <c r="C57" s="4" t="s">
        <v>85</v>
      </c>
      <c r="D57" s="4" t="s">
        <v>286</v>
      </c>
      <c r="E57" s="4"/>
      <c r="F57" s="4"/>
      <c r="G57" s="4"/>
      <c r="H57" s="4"/>
      <c r="I57" s="6">
        <v>5</v>
      </c>
      <c r="J57" s="6">
        <v>200</v>
      </c>
      <c r="K57" s="6">
        <v>7</v>
      </c>
      <c r="L57" s="4" t="s">
        <v>287</v>
      </c>
      <c r="M57" s="4" t="s">
        <v>177</v>
      </c>
      <c r="N57" s="3">
        <v>1290</v>
      </c>
    </row>
    <row r="58" spans="1:14" ht="24.75" customHeight="1">
      <c r="A58" s="3">
        <v>56</v>
      </c>
      <c r="B58" s="4" t="s">
        <v>174</v>
      </c>
      <c r="C58" s="4" t="s">
        <v>85</v>
      </c>
      <c r="D58" s="4" t="s">
        <v>288</v>
      </c>
      <c r="E58" s="4"/>
      <c r="F58" s="4"/>
      <c r="G58" s="4"/>
      <c r="H58" s="4"/>
      <c r="I58" s="6">
        <v>5</v>
      </c>
      <c r="J58" s="6">
        <v>200</v>
      </c>
      <c r="K58" s="6">
        <v>7</v>
      </c>
      <c r="L58" s="4" t="s">
        <v>289</v>
      </c>
      <c r="M58" s="4" t="s">
        <v>177</v>
      </c>
      <c r="N58" s="3">
        <v>1290</v>
      </c>
    </row>
    <row r="59" spans="1:14" ht="24.75" customHeight="1">
      <c r="A59" s="3">
        <v>57</v>
      </c>
      <c r="B59" s="4" t="s">
        <v>174</v>
      </c>
      <c r="C59" s="4" t="s">
        <v>85</v>
      </c>
      <c r="D59" s="4" t="s">
        <v>290</v>
      </c>
      <c r="E59" s="4"/>
      <c r="F59" s="4"/>
      <c r="G59" s="4"/>
      <c r="H59" s="4"/>
      <c r="I59" s="6">
        <v>4</v>
      </c>
      <c r="J59" s="6">
        <v>200</v>
      </c>
      <c r="K59" s="6">
        <v>7</v>
      </c>
      <c r="L59" s="4" t="s">
        <v>291</v>
      </c>
      <c r="M59" s="4" t="s">
        <v>186</v>
      </c>
      <c r="N59" s="3">
        <v>995</v>
      </c>
    </row>
    <row r="60" spans="1:14" ht="24.75" customHeight="1">
      <c r="A60" s="3">
        <v>58</v>
      </c>
      <c r="B60" s="4" t="s">
        <v>174</v>
      </c>
      <c r="C60" s="4" t="s">
        <v>85</v>
      </c>
      <c r="D60" s="4" t="s">
        <v>292</v>
      </c>
      <c r="E60" s="4"/>
      <c r="F60" s="4"/>
      <c r="G60" s="4"/>
      <c r="H60" s="4"/>
      <c r="I60" s="6">
        <v>4</v>
      </c>
      <c r="J60" s="6">
        <v>200</v>
      </c>
      <c r="K60" s="6">
        <v>7</v>
      </c>
      <c r="L60" s="4" t="s">
        <v>293</v>
      </c>
      <c r="M60" s="4" t="s">
        <v>186</v>
      </c>
      <c r="N60" s="3">
        <v>995</v>
      </c>
    </row>
    <row r="61" spans="1:14" ht="24.75" customHeight="1">
      <c r="A61" s="3">
        <v>59</v>
      </c>
      <c r="B61" s="4" t="s">
        <v>174</v>
      </c>
      <c r="C61" s="4" t="s">
        <v>85</v>
      </c>
      <c r="D61" s="4" t="s">
        <v>294</v>
      </c>
      <c r="E61" s="4"/>
      <c r="F61" s="4"/>
      <c r="G61" s="4"/>
      <c r="H61" s="4"/>
      <c r="I61" s="6">
        <v>5</v>
      </c>
      <c r="J61" s="6">
        <v>200</v>
      </c>
      <c r="K61" s="6">
        <v>7</v>
      </c>
      <c r="L61" s="4" t="s">
        <v>295</v>
      </c>
      <c r="M61" s="4" t="s">
        <v>177</v>
      </c>
      <c r="N61" s="3">
        <v>1290</v>
      </c>
    </row>
    <row r="62" spans="1:14" ht="24.75" customHeight="1">
      <c r="A62" s="3">
        <v>60</v>
      </c>
      <c r="B62" s="4" t="s">
        <v>174</v>
      </c>
      <c r="C62" s="4" t="s">
        <v>94</v>
      </c>
      <c r="D62" s="4" t="s">
        <v>297</v>
      </c>
      <c r="E62" s="4"/>
      <c r="F62" s="4"/>
      <c r="G62" s="4"/>
      <c r="H62" s="4"/>
      <c r="I62" s="6">
        <v>5</v>
      </c>
      <c r="J62" s="6">
        <v>200</v>
      </c>
      <c r="K62" s="6">
        <v>7</v>
      </c>
      <c r="L62" s="4" t="s">
        <v>298</v>
      </c>
      <c r="M62" s="4" t="s">
        <v>177</v>
      </c>
      <c r="N62" s="3">
        <v>1290</v>
      </c>
    </row>
    <row r="63" spans="1:14" ht="24.75" customHeight="1">
      <c r="A63" s="3">
        <v>61</v>
      </c>
      <c r="B63" s="4" t="s">
        <v>174</v>
      </c>
      <c r="C63" s="4" t="s">
        <v>94</v>
      </c>
      <c r="D63" s="4" t="s">
        <v>299</v>
      </c>
      <c r="E63" s="4"/>
      <c r="F63" s="4"/>
      <c r="G63" s="4"/>
      <c r="H63" s="4"/>
      <c r="I63" s="6">
        <v>5</v>
      </c>
      <c r="J63" s="6">
        <v>200</v>
      </c>
      <c r="K63" s="6">
        <v>7</v>
      </c>
      <c r="L63" s="4" t="s">
        <v>300</v>
      </c>
      <c r="M63" s="4" t="s">
        <v>177</v>
      </c>
      <c r="N63" s="3">
        <v>1290</v>
      </c>
    </row>
    <row r="64" spans="1:14" ht="24.75" customHeight="1">
      <c r="A64" s="3">
        <v>62</v>
      </c>
      <c r="B64" s="4" t="s">
        <v>174</v>
      </c>
      <c r="C64" s="4" t="s">
        <v>94</v>
      </c>
      <c r="D64" s="4" t="s">
        <v>301</v>
      </c>
      <c r="E64" s="4"/>
      <c r="F64" s="4"/>
      <c r="G64" s="4"/>
      <c r="H64" s="4"/>
      <c r="I64" s="6">
        <v>5</v>
      </c>
      <c r="J64" s="6">
        <v>200</v>
      </c>
      <c r="K64" s="6">
        <v>7</v>
      </c>
      <c r="L64" s="4" t="s">
        <v>302</v>
      </c>
      <c r="M64" s="4" t="s">
        <v>177</v>
      </c>
      <c r="N64" s="3">
        <v>1290</v>
      </c>
    </row>
    <row r="65" spans="1:14" ht="24.75" customHeight="1">
      <c r="A65" s="3">
        <v>63</v>
      </c>
      <c r="B65" s="4" t="s">
        <v>174</v>
      </c>
      <c r="C65" s="4" t="s">
        <v>94</v>
      </c>
      <c r="D65" s="4" t="s">
        <v>303</v>
      </c>
      <c r="E65" s="4"/>
      <c r="F65" s="4"/>
      <c r="G65" s="4"/>
      <c r="H65" s="4"/>
      <c r="I65" s="6">
        <v>5</v>
      </c>
      <c r="J65" s="6">
        <v>200</v>
      </c>
      <c r="K65" s="6">
        <v>7</v>
      </c>
      <c r="L65" s="4" t="s">
        <v>304</v>
      </c>
      <c r="M65" s="4" t="s">
        <v>177</v>
      </c>
      <c r="N65" s="3">
        <v>1290</v>
      </c>
    </row>
    <row r="66" spans="1:14" ht="24.75" customHeight="1">
      <c r="A66" s="3">
        <v>64</v>
      </c>
      <c r="B66" s="4" t="s">
        <v>174</v>
      </c>
      <c r="C66" s="4" t="s">
        <v>94</v>
      </c>
      <c r="D66" s="4" t="s">
        <v>305</v>
      </c>
      <c r="E66" s="4"/>
      <c r="F66" s="4"/>
      <c r="G66" s="4"/>
      <c r="H66" s="4"/>
      <c r="I66" s="6">
        <v>4</v>
      </c>
      <c r="J66" s="6">
        <v>200</v>
      </c>
      <c r="K66" s="6">
        <v>7</v>
      </c>
      <c r="L66" s="4" t="s">
        <v>306</v>
      </c>
      <c r="M66" s="4" t="s">
        <v>186</v>
      </c>
      <c r="N66" s="3">
        <v>995</v>
      </c>
    </row>
    <row r="67" spans="1:14" ht="24.75" customHeight="1">
      <c r="A67" s="3">
        <v>65</v>
      </c>
      <c r="B67" s="4" t="s">
        <v>174</v>
      </c>
      <c r="C67" s="4" t="s">
        <v>94</v>
      </c>
      <c r="D67" s="4" t="s">
        <v>307</v>
      </c>
      <c r="E67" s="4"/>
      <c r="F67" s="4"/>
      <c r="G67" s="4"/>
      <c r="H67" s="4"/>
      <c r="I67" s="6">
        <v>4</v>
      </c>
      <c r="J67" s="6">
        <v>200</v>
      </c>
      <c r="K67" s="6">
        <v>7</v>
      </c>
      <c r="L67" s="4" t="s">
        <v>308</v>
      </c>
      <c r="M67" s="4" t="s">
        <v>186</v>
      </c>
      <c r="N67" s="3">
        <v>995</v>
      </c>
    </row>
    <row r="68" spans="1:14" ht="24.75" customHeight="1">
      <c r="A68" s="3">
        <v>66</v>
      </c>
      <c r="B68" s="4" t="s">
        <v>174</v>
      </c>
      <c r="C68" s="4" t="s">
        <v>94</v>
      </c>
      <c r="D68" s="4" t="s">
        <v>309</v>
      </c>
      <c r="E68" s="4"/>
      <c r="F68" s="4"/>
      <c r="G68" s="4"/>
      <c r="H68" s="4"/>
      <c r="I68" s="6">
        <v>5</v>
      </c>
      <c r="J68" s="6">
        <v>200</v>
      </c>
      <c r="K68" s="6">
        <v>7</v>
      </c>
      <c r="L68" s="4" t="s">
        <v>310</v>
      </c>
      <c r="M68" s="4" t="s">
        <v>177</v>
      </c>
      <c r="N68" s="3">
        <v>1290</v>
      </c>
    </row>
    <row r="69" spans="1:14" ht="24.75" customHeight="1">
      <c r="A69" s="3">
        <v>67</v>
      </c>
      <c r="B69" s="4" t="s">
        <v>174</v>
      </c>
      <c r="C69" s="4" t="s">
        <v>94</v>
      </c>
      <c r="D69" s="4" t="s">
        <v>311</v>
      </c>
      <c r="E69" s="4"/>
      <c r="F69" s="4"/>
      <c r="G69" s="4"/>
      <c r="H69" s="4"/>
      <c r="I69" s="6">
        <v>5</v>
      </c>
      <c r="J69" s="6">
        <v>200</v>
      </c>
      <c r="K69" s="6">
        <v>7</v>
      </c>
      <c r="L69" s="4" t="s">
        <v>312</v>
      </c>
      <c r="M69" s="4" t="s">
        <v>177</v>
      </c>
      <c r="N69" s="3">
        <v>1290</v>
      </c>
    </row>
    <row r="70" spans="1:14" ht="24.75" customHeight="1">
      <c r="A70" s="3">
        <v>68</v>
      </c>
      <c r="B70" s="4" t="s">
        <v>174</v>
      </c>
      <c r="C70" s="4" t="s">
        <v>103</v>
      </c>
      <c r="D70" s="4" t="s">
        <v>313</v>
      </c>
      <c r="E70" s="4"/>
      <c r="F70" s="4"/>
      <c r="G70" s="4"/>
      <c r="H70" s="4"/>
      <c r="I70" s="6">
        <v>5</v>
      </c>
      <c r="J70" s="6">
        <v>200</v>
      </c>
      <c r="K70" s="6">
        <v>7</v>
      </c>
      <c r="L70" s="4" t="s">
        <v>314</v>
      </c>
      <c r="M70" s="4" t="s">
        <v>177</v>
      </c>
      <c r="N70" s="3">
        <v>1290</v>
      </c>
    </row>
    <row r="71" spans="1:14" ht="24.75" customHeight="1">
      <c r="A71" s="3">
        <v>69</v>
      </c>
      <c r="B71" s="4" t="s">
        <v>174</v>
      </c>
      <c r="C71" s="4" t="s">
        <v>103</v>
      </c>
      <c r="D71" s="4" t="s">
        <v>315</v>
      </c>
      <c r="E71" s="4"/>
      <c r="F71" s="4"/>
      <c r="G71" s="4"/>
      <c r="H71" s="4"/>
      <c r="I71" s="6">
        <v>5</v>
      </c>
      <c r="J71" s="6">
        <v>200</v>
      </c>
      <c r="K71" s="6">
        <v>7</v>
      </c>
      <c r="L71" s="4" t="s">
        <v>316</v>
      </c>
      <c r="M71" s="4" t="s">
        <v>177</v>
      </c>
      <c r="N71" s="3">
        <v>1290</v>
      </c>
    </row>
    <row r="72" spans="1:14" ht="24.75" customHeight="1">
      <c r="A72" s="3">
        <v>70</v>
      </c>
      <c r="B72" s="4" t="s">
        <v>174</v>
      </c>
      <c r="C72" s="4" t="s">
        <v>103</v>
      </c>
      <c r="D72" s="4" t="s">
        <v>317</v>
      </c>
      <c r="E72" s="4"/>
      <c r="F72" s="4"/>
      <c r="G72" s="4"/>
      <c r="H72" s="4"/>
      <c r="I72" s="6">
        <v>5</v>
      </c>
      <c r="J72" s="6">
        <v>200</v>
      </c>
      <c r="K72" s="6">
        <v>7</v>
      </c>
      <c r="L72" s="4" t="s">
        <v>318</v>
      </c>
      <c r="M72" s="4" t="s">
        <v>177</v>
      </c>
      <c r="N72" s="3">
        <v>1290</v>
      </c>
    </row>
    <row r="73" spans="1:14" ht="24.75" customHeight="1">
      <c r="A73" s="3">
        <v>71</v>
      </c>
      <c r="B73" s="4" t="s">
        <v>174</v>
      </c>
      <c r="C73" s="4" t="s">
        <v>103</v>
      </c>
      <c r="D73" s="4" t="s">
        <v>319</v>
      </c>
      <c r="E73" s="4"/>
      <c r="F73" s="4"/>
      <c r="G73" s="4"/>
      <c r="H73" s="4"/>
      <c r="I73" s="6">
        <v>5</v>
      </c>
      <c r="J73" s="6">
        <v>200</v>
      </c>
      <c r="K73" s="6">
        <v>7</v>
      </c>
      <c r="L73" s="4" t="s">
        <v>320</v>
      </c>
      <c r="M73" s="4" t="s">
        <v>177</v>
      </c>
      <c r="N73" s="3">
        <v>1290</v>
      </c>
    </row>
    <row r="74" spans="1:14" ht="24.75" customHeight="1">
      <c r="A74" s="3">
        <v>72</v>
      </c>
      <c r="B74" s="4" t="s">
        <v>174</v>
      </c>
      <c r="C74" s="4" t="s">
        <v>103</v>
      </c>
      <c r="D74" s="4" t="s">
        <v>321</v>
      </c>
      <c r="E74" s="4"/>
      <c r="F74" s="4"/>
      <c r="G74" s="4"/>
      <c r="H74" s="4"/>
      <c r="I74" s="6">
        <v>4</v>
      </c>
      <c r="J74" s="6">
        <v>200</v>
      </c>
      <c r="K74" s="6">
        <v>7</v>
      </c>
      <c r="L74" s="4" t="s">
        <v>322</v>
      </c>
      <c r="M74" s="4" t="s">
        <v>186</v>
      </c>
      <c r="N74" s="3">
        <v>995</v>
      </c>
    </row>
    <row r="75" spans="1:14" ht="24.75" customHeight="1">
      <c r="A75" s="3">
        <v>73</v>
      </c>
      <c r="B75" s="4" t="s">
        <v>174</v>
      </c>
      <c r="C75" s="4" t="s">
        <v>103</v>
      </c>
      <c r="D75" s="4" t="s">
        <v>323</v>
      </c>
      <c r="E75" s="4"/>
      <c r="F75" s="4"/>
      <c r="G75" s="4"/>
      <c r="H75" s="4"/>
      <c r="I75" s="6">
        <v>4</v>
      </c>
      <c r="J75" s="6">
        <v>200</v>
      </c>
      <c r="K75" s="6">
        <v>7</v>
      </c>
      <c r="L75" s="4" t="s">
        <v>324</v>
      </c>
      <c r="M75" s="4" t="s">
        <v>186</v>
      </c>
      <c r="N75" s="3">
        <v>995</v>
      </c>
    </row>
    <row r="76" spans="1:14" ht="24.75" customHeight="1">
      <c r="A76" s="3">
        <v>74</v>
      </c>
      <c r="B76" s="4" t="s">
        <v>174</v>
      </c>
      <c r="C76" s="4" t="s">
        <v>103</v>
      </c>
      <c r="D76" s="4" t="s">
        <v>325</v>
      </c>
      <c r="E76" s="4"/>
      <c r="F76" s="4"/>
      <c r="G76" s="4"/>
      <c r="H76" s="4"/>
      <c r="I76" s="6">
        <v>5</v>
      </c>
      <c r="J76" s="6">
        <v>200</v>
      </c>
      <c r="K76" s="6">
        <v>7</v>
      </c>
      <c r="L76" s="4" t="s">
        <v>326</v>
      </c>
      <c r="M76" s="4" t="s">
        <v>177</v>
      </c>
      <c r="N76" s="3">
        <v>1290</v>
      </c>
    </row>
    <row r="77" spans="1:14" ht="24.75" customHeight="1">
      <c r="A77" s="3">
        <v>75</v>
      </c>
      <c r="B77" s="4" t="s">
        <v>174</v>
      </c>
      <c r="C77" s="4" t="s">
        <v>103</v>
      </c>
      <c r="D77" s="4" t="s">
        <v>327</v>
      </c>
      <c r="E77" s="4"/>
      <c r="F77" s="4"/>
      <c r="G77" s="4"/>
      <c r="H77" s="4"/>
      <c r="I77" s="6">
        <v>5</v>
      </c>
      <c r="J77" s="6">
        <v>200</v>
      </c>
      <c r="K77" s="6">
        <v>7</v>
      </c>
      <c r="L77" s="4" t="s">
        <v>328</v>
      </c>
      <c r="M77" s="4" t="s">
        <v>177</v>
      </c>
      <c r="N77" s="3">
        <v>1290</v>
      </c>
    </row>
    <row r="78" spans="1:14" ht="24.75" customHeight="1">
      <c r="A78" s="3">
        <v>76</v>
      </c>
      <c r="B78" s="4" t="s">
        <v>174</v>
      </c>
      <c r="C78" s="4" t="s">
        <v>112</v>
      </c>
      <c r="D78" s="4" t="s">
        <v>329</v>
      </c>
      <c r="E78" s="4"/>
      <c r="F78" s="4"/>
      <c r="G78" s="4"/>
      <c r="H78" s="4"/>
      <c r="I78" s="6">
        <v>5</v>
      </c>
      <c r="J78" s="6">
        <v>200</v>
      </c>
      <c r="K78" s="6">
        <v>7</v>
      </c>
      <c r="L78" s="4" t="s">
        <v>330</v>
      </c>
      <c r="M78" s="4" t="s">
        <v>177</v>
      </c>
      <c r="N78" s="3">
        <v>1290</v>
      </c>
    </row>
    <row r="79" spans="1:14" ht="24.75" customHeight="1">
      <c r="A79" s="3">
        <v>77</v>
      </c>
      <c r="B79" s="4" t="s">
        <v>174</v>
      </c>
      <c r="C79" s="4" t="s">
        <v>112</v>
      </c>
      <c r="D79" s="4" t="s">
        <v>331</v>
      </c>
      <c r="E79" s="4"/>
      <c r="F79" s="4"/>
      <c r="G79" s="4"/>
      <c r="H79" s="4"/>
      <c r="I79" s="6">
        <v>5</v>
      </c>
      <c r="J79" s="6">
        <v>200</v>
      </c>
      <c r="K79" s="6">
        <v>7</v>
      </c>
      <c r="L79" s="4" t="s">
        <v>332</v>
      </c>
      <c r="M79" s="4" t="s">
        <v>177</v>
      </c>
      <c r="N79" s="3">
        <v>1290</v>
      </c>
    </row>
    <row r="80" spans="1:14" ht="24.75" customHeight="1">
      <c r="A80" s="3">
        <v>78</v>
      </c>
      <c r="B80" s="4" t="s">
        <v>174</v>
      </c>
      <c r="C80" s="4" t="s">
        <v>112</v>
      </c>
      <c r="D80" s="4" t="s">
        <v>333</v>
      </c>
      <c r="E80" s="4"/>
      <c r="F80" s="4"/>
      <c r="G80" s="4"/>
      <c r="H80" s="4"/>
      <c r="I80" s="6">
        <v>5</v>
      </c>
      <c r="J80" s="6">
        <v>200</v>
      </c>
      <c r="K80" s="6">
        <v>7</v>
      </c>
      <c r="L80" s="4" t="s">
        <v>334</v>
      </c>
      <c r="M80" s="4" t="s">
        <v>177</v>
      </c>
      <c r="N80" s="3">
        <v>1290</v>
      </c>
    </row>
    <row r="81" spans="1:14" ht="24.75" customHeight="1">
      <c r="A81" s="3">
        <v>79</v>
      </c>
      <c r="B81" s="4" t="s">
        <v>174</v>
      </c>
      <c r="C81" s="4" t="s">
        <v>112</v>
      </c>
      <c r="D81" s="4" t="s">
        <v>335</v>
      </c>
      <c r="E81" s="4"/>
      <c r="F81" s="4"/>
      <c r="G81" s="4"/>
      <c r="H81" s="4"/>
      <c r="I81" s="6">
        <v>5</v>
      </c>
      <c r="J81" s="6">
        <v>200</v>
      </c>
      <c r="K81" s="6">
        <v>7</v>
      </c>
      <c r="L81" s="4" t="s">
        <v>953</v>
      </c>
      <c r="M81" s="4" t="s">
        <v>177</v>
      </c>
      <c r="N81" s="3">
        <v>1290</v>
      </c>
    </row>
    <row r="82" spans="1:14" ht="24.75" customHeight="1">
      <c r="A82" s="3">
        <v>80</v>
      </c>
      <c r="B82" s="4" t="s">
        <v>174</v>
      </c>
      <c r="C82" s="4" t="s">
        <v>112</v>
      </c>
      <c r="D82" s="4" t="s">
        <v>336</v>
      </c>
      <c r="E82" s="4"/>
      <c r="F82" s="4"/>
      <c r="G82" s="4"/>
      <c r="H82" s="4"/>
      <c r="I82" s="6">
        <v>4</v>
      </c>
      <c r="J82" s="6">
        <v>200</v>
      </c>
      <c r="K82" s="6">
        <v>7</v>
      </c>
      <c r="L82" s="4" t="s">
        <v>337</v>
      </c>
      <c r="M82" s="4" t="s">
        <v>186</v>
      </c>
      <c r="N82" s="3">
        <v>995</v>
      </c>
    </row>
    <row r="83" spans="1:14" ht="24.75" customHeight="1">
      <c r="A83" s="3">
        <v>81</v>
      </c>
      <c r="B83" s="4" t="s">
        <v>174</v>
      </c>
      <c r="C83" s="4" t="s">
        <v>112</v>
      </c>
      <c r="D83" s="4" t="s">
        <v>338</v>
      </c>
      <c r="E83" s="4"/>
      <c r="F83" s="4"/>
      <c r="G83" s="4"/>
      <c r="H83" s="4"/>
      <c r="I83" s="6">
        <v>4</v>
      </c>
      <c r="J83" s="6">
        <v>200</v>
      </c>
      <c r="K83" s="6">
        <v>7</v>
      </c>
      <c r="L83" s="4" t="s">
        <v>339</v>
      </c>
      <c r="M83" s="4" t="s">
        <v>186</v>
      </c>
      <c r="N83" s="3">
        <v>995</v>
      </c>
    </row>
    <row r="84" spans="1:14" ht="24.75" customHeight="1">
      <c r="A84" s="3">
        <v>82</v>
      </c>
      <c r="B84" s="4" t="s">
        <v>174</v>
      </c>
      <c r="C84" s="4" t="s">
        <v>112</v>
      </c>
      <c r="D84" s="4" t="s">
        <v>340</v>
      </c>
      <c r="E84" s="4"/>
      <c r="F84" s="4"/>
      <c r="G84" s="4"/>
      <c r="H84" s="4"/>
      <c r="I84" s="6">
        <v>5</v>
      </c>
      <c r="J84" s="6">
        <v>200</v>
      </c>
      <c r="K84" s="6">
        <v>7</v>
      </c>
      <c r="L84" s="4" t="s">
        <v>954</v>
      </c>
      <c r="M84" s="4" t="s">
        <v>177</v>
      </c>
      <c r="N84" s="3">
        <v>1290</v>
      </c>
    </row>
    <row r="85" spans="1:14" ht="24.75" customHeight="1">
      <c r="A85" s="3">
        <v>83</v>
      </c>
      <c r="B85" s="4" t="s">
        <v>174</v>
      </c>
      <c r="C85" s="4" t="s">
        <v>342</v>
      </c>
      <c r="D85" s="4" t="s">
        <v>343</v>
      </c>
      <c r="E85" s="4"/>
      <c r="F85" s="4"/>
      <c r="G85" s="4"/>
      <c r="H85" s="4"/>
      <c r="I85" s="6">
        <v>5</v>
      </c>
      <c r="J85" s="6">
        <v>200</v>
      </c>
      <c r="K85" s="6">
        <v>7</v>
      </c>
      <c r="L85" s="4" t="s">
        <v>344</v>
      </c>
      <c r="M85" s="4" t="s">
        <v>177</v>
      </c>
      <c r="N85" s="3">
        <v>1290</v>
      </c>
    </row>
    <row r="86" spans="1:14" ht="24.75" customHeight="1">
      <c r="A86" s="3">
        <v>84</v>
      </c>
      <c r="B86" s="4" t="s">
        <v>174</v>
      </c>
      <c r="C86" s="4" t="s">
        <v>342</v>
      </c>
      <c r="D86" s="4" t="s">
        <v>345</v>
      </c>
      <c r="E86" s="4"/>
      <c r="F86" s="4"/>
      <c r="G86" s="4"/>
      <c r="H86" s="4"/>
      <c r="I86" s="6">
        <v>5</v>
      </c>
      <c r="J86" s="6">
        <v>200</v>
      </c>
      <c r="K86" s="6">
        <v>7</v>
      </c>
      <c r="L86" s="4" t="s">
        <v>346</v>
      </c>
      <c r="M86" s="4" t="s">
        <v>177</v>
      </c>
      <c r="N86" s="3">
        <v>1290</v>
      </c>
    </row>
    <row r="87" spans="1:14" ht="24.75" customHeight="1">
      <c r="A87" s="3">
        <v>85</v>
      </c>
      <c r="B87" s="4" t="s">
        <v>174</v>
      </c>
      <c r="C87" s="4" t="s">
        <v>342</v>
      </c>
      <c r="D87" s="4" t="s">
        <v>347</v>
      </c>
      <c r="E87" s="4"/>
      <c r="F87" s="4"/>
      <c r="G87" s="4"/>
      <c r="H87" s="4"/>
      <c r="I87" s="6">
        <v>5</v>
      </c>
      <c r="J87" s="6">
        <v>200</v>
      </c>
      <c r="K87" s="6">
        <v>7</v>
      </c>
      <c r="L87" s="4" t="s">
        <v>348</v>
      </c>
      <c r="M87" s="4" t="s">
        <v>177</v>
      </c>
      <c r="N87" s="3">
        <v>1290</v>
      </c>
    </row>
    <row r="88" spans="1:14" ht="24.75" customHeight="1">
      <c r="A88" s="3">
        <v>86</v>
      </c>
      <c r="B88" s="4" t="s">
        <v>174</v>
      </c>
      <c r="C88" s="4" t="s">
        <v>342</v>
      </c>
      <c r="D88" s="4" t="s">
        <v>349</v>
      </c>
      <c r="E88" s="4"/>
      <c r="F88" s="4"/>
      <c r="G88" s="4"/>
      <c r="H88" s="4"/>
      <c r="I88" s="6">
        <v>5</v>
      </c>
      <c r="J88" s="6">
        <v>200</v>
      </c>
      <c r="K88" s="6">
        <v>7</v>
      </c>
      <c r="L88" s="4" t="s">
        <v>350</v>
      </c>
      <c r="M88" s="4" t="s">
        <v>177</v>
      </c>
      <c r="N88" s="3">
        <v>1290</v>
      </c>
    </row>
    <row r="89" spans="1:14" ht="24.75" customHeight="1">
      <c r="A89" s="3">
        <v>87</v>
      </c>
      <c r="B89" s="4" t="s">
        <v>174</v>
      </c>
      <c r="C89" s="4" t="s">
        <v>342</v>
      </c>
      <c r="D89" s="4" t="s">
        <v>351</v>
      </c>
      <c r="E89" s="4"/>
      <c r="F89" s="4"/>
      <c r="G89" s="4"/>
      <c r="H89" s="4"/>
      <c r="I89" s="6">
        <v>4</v>
      </c>
      <c r="J89" s="6">
        <v>200</v>
      </c>
      <c r="K89" s="6">
        <v>7</v>
      </c>
      <c r="L89" s="4" t="s">
        <v>352</v>
      </c>
      <c r="M89" s="4" t="s">
        <v>186</v>
      </c>
      <c r="N89" s="3">
        <v>995</v>
      </c>
    </row>
    <row r="90" spans="1:14" ht="24.75" customHeight="1">
      <c r="A90" s="3">
        <v>88</v>
      </c>
      <c r="B90" s="4" t="s">
        <v>174</v>
      </c>
      <c r="C90" s="4" t="s">
        <v>342</v>
      </c>
      <c r="D90" s="4" t="s">
        <v>353</v>
      </c>
      <c r="E90" s="4"/>
      <c r="F90" s="4"/>
      <c r="G90" s="4"/>
      <c r="H90" s="4"/>
      <c r="I90" s="6">
        <v>4</v>
      </c>
      <c r="J90" s="6">
        <v>200</v>
      </c>
      <c r="K90" s="6">
        <v>7</v>
      </c>
      <c r="L90" s="4" t="s">
        <v>354</v>
      </c>
      <c r="M90" s="4" t="s">
        <v>186</v>
      </c>
      <c r="N90" s="3">
        <v>995</v>
      </c>
    </row>
    <row r="91" spans="1:14" ht="24.75" customHeight="1">
      <c r="A91" s="3">
        <v>89</v>
      </c>
      <c r="B91" s="4" t="s">
        <v>174</v>
      </c>
      <c r="C91" s="4" t="s">
        <v>342</v>
      </c>
      <c r="D91" s="4" t="s">
        <v>355</v>
      </c>
      <c r="E91" s="4"/>
      <c r="F91" s="4"/>
      <c r="G91" s="4"/>
      <c r="H91" s="4"/>
      <c r="I91" s="6">
        <v>5</v>
      </c>
      <c r="J91" s="6">
        <v>200</v>
      </c>
      <c r="K91" s="6">
        <v>7</v>
      </c>
      <c r="L91" s="4" t="s">
        <v>356</v>
      </c>
      <c r="M91" s="4" t="s">
        <v>177</v>
      </c>
      <c r="N91" s="3">
        <v>1290</v>
      </c>
    </row>
    <row r="92" spans="1:14" ht="24.75" customHeight="1">
      <c r="A92" s="3">
        <v>90</v>
      </c>
      <c r="B92" s="4" t="s">
        <v>174</v>
      </c>
      <c r="C92" s="4" t="s">
        <v>342</v>
      </c>
      <c r="D92" s="4" t="s">
        <v>357</v>
      </c>
      <c r="E92" s="4"/>
      <c r="F92" s="4"/>
      <c r="G92" s="4"/>
      <c r="H92" s="4"/>
      <c r="I92" s="6">
        <v>5</v>
      </c>
      <c r="J92" s="6">
        <v>200</v>
      </c>
      <c r="K92" s="6">
        <v>7</v>
      </c>
      <c r="L92" s="4" t="s">
        <v>358</v>
      </c>
      <c r="M92" s="4" t="s">
        <v>177</v>
      </c>
      <c r="N92" s="3">
        <v>1290</v>
      </c>
    </row>
    <row r="93" spans="1:14" ht="24.75" customHeight="1">
      <c r="A93" s="3">
        <v>91</v>
      </c>
      <c r="B93" s="4" t="s">
        <v>174</v>
      </c>
      <c r="C93" s="4" t="s">
        <v>128</v>
      </c>
      <c r="D93" s="4" t="s">
        <v>359</v>
      </c>
      <c r="E93" s="4"/>
      <c r="F93" s="4"/>
      <c r="G93" s="4"/>
      <c r="H93" s="4"/>
      <c r="I93" s="6">
        <v>5</v>
      </c>
      <c r="J93" s="6">
        <v>200</v>
      </c>
      <c r="K93" s="6">
        <v>7</v>
      </c>
      <c r="L93" s="4" t="s">
        <v>360</v>
      </c>
      <c r="M93" s="4" t="s">
        <v>177</v>
      </c>
      <c r="N93" s="3">
        <v>1290</v>
      </c>
    </row>
    <row r="94" spans="1:14" ht="24.75" customHeight="1">
      <c r="A94" s="3">
        <v>92</v>
      </c>
      <c r="B94" s="4" t="s">
        <v>174</v>
      </c>
      <c r="C94" s="4" t="s">
        <v>128</v>
      </c>
      <c r="D94" s="4" t="s">
        <v>361</v>
      </c>
      <c r="E94" s="4"/>
      <c r="F94" s="4"/>
      <c r="G94" s="4"/>
      <c r="H94" s="4"/>
      <c r="I94" s="6">
        <v>5</v>
      </c>
      <c r="J94" s="6">
        <v>200</v>
      </c>
      <c r="K94" s="6">
        <v>7</v>
      </c>
      <c r="L94" s="4" t="s">
        <v>362</v>
      </c>
      <c r="M94" s="4" t="s">
        <v>177</v>
      </c>
      <c r="N94" s="3">
        <v>1290</v>
      </c>
    </row>
    <row r="95" spans="1:14" ht="24.75" customHeight="1">
      <c r="A95" s="3">
        <v>93</v>
      </c>
      <c r="B95" s="4" t="s">
        <v>174</v>
      </c>
      <c r="C95" s="4" t="s">
        <v>128</v>
      </c>
      <c r="D95" s="4" t="s">
        <v>363</v>
      </c>
      <c r="E95" s="4"/>
      <c r="F95" s="4"/>
      <c r="G95" s="4"/>
      <c r="H95" s="4"/>
      <c r="I95" s="6">
        <v>5</v>
      </c>
      <c r="J95" s="6">
        <v>200</v>
      </c>
      <c r="K95" s="6">
        <v>7</v>
      </c>
      <c r="L95" s="4" t="s">
        <v>364</v>
      </c>
      <c r="M95" s="4" t="s">
        <v>177</v>
      </c>
      <c r="N95" s="3">
        <v>1290</v>
      </c>
    </row>
    <row r="96" spans="1:14" ht="24.75" customHeight="1">
      <c r="A96" s="3">
        <v>94</v>
      </c>
      <c r="B96" s="4" t="s">
        <v>174</v>
      </c>
      <c r="C96" s="4" t="s">
        <v>128</v>
      </c>
      <c r="D96" s="4" t="s">
        <v>365</v>
      </c>
      <c r="E96" s="4"/>
      <c r="F96" s="4"/>
      <c r="G96" s="4"/>
      <c r="H96" s="4"/>
      <c r="I96" s="6">
        <v>5</v>
      </c>
      <c r="J96" s="6">
        <v>200</v>
      </c>
      <c r="K96" s="6">
        <v>7</v>
      </c>
      <c r="L96" s="4" t="s">
        <v>366</v>
      </c>
      <c r="M96" s="4" t="s">
        <v>177</v>
      </c>
      <c r="N96" s="3">
        <v>1290</v>
      </c>
    </row>
    <row r="97" spans="1:14" ht="24.75" customHeight="1">
      <c r="A97" s="3">
        <v>95</v>
      </c>
      <c r="B97" s="4" t="s">
        <v>174</v>
      </c>
      <c r="C97" s="4" t="s">
        <v>128</v>
      </c>
      <c r="D97" s="4" t="s">
        <v>367</v>
      </c>
      <c r="E97" s="4"/>
      <c r="F97" s="4"/>
      <c r="G97" s="4"/>
      <c r="H97" s="4"/>
      <c r="I97" s="6">
        <v>4</v>
      </c>
      <c r="J97" s="6">
        <v>200</v>
      </c>
      <c r="K97" s="6">
        <v>7</v>
      </c>
      <c r="L97" s="4" t="s">
        <v>368</v>
      </c>
      <c r="M97" s="4" t="s">
        <v>186</v>
      </c>
      <c r="N97" s="3">
        <v>995</v>
      </c>
    </row>
    <row r="98" spans="1:14" ht="24.75" customHeight="1">
      <c r="A98" s="3">
        <v>96</v>
      </c>
      <c r="B98" s="4" t="s">
        <v>174</v>
      </c>
      <c r="C98" s="4" t="s">
        <v>128</v>
      </c>
      <c r="D98" s="4" t="s">
        <v>369</v>
      </c>
      <c r="E98" s="4"/>
      <c r="F98" s="4"/>
      <c r="G98" s="4"/>
      <c r="H98" s="4"/>
      <c r="I98" s="6">
        <v>4</v>
      </c>
      <c r="J98" s="6">
        <v>200</v>
      </c>
      <c r="K98" s="6">
        <v>7</v>
      </c>
      <c r="L98" s="4" t="s">
        <v>370</v>
      </c>
      <c r="M98" s="4" t="s">
        <v>186</v>
      </c>
      <c r="N98" s="3">
        <v>995</v>
      </c>
    </row>
    <row r="99" spans="1:14" ht="24.75" customHeight="1">
      <c r="A99" s="3">
        <v>97</v>
      </c>
      <c r="B99" s="4" t="s">
        <v>174</v>
      </c>
      <c r="C99" s="4" t="s">
        <v>128</v>
      </c>
      <c r="D99" s="4" t="s">
        <v>371</v>
      </c>
      <c r="E99" s="4"/>
      <c r="F99" s="4"/>
      <c r="G99" s="4"/>
      <c r="H99" s="4"/>
      <c r="I99" s="6">
        <v>5</v>
      </c>
      <c r="J99" s="6">
        <v>200</v>
      </c>
      <c r="K99" s="6">
        <v>7</v>
      </c>
      <c r="L99" s="4" t="s">
        <v>372</v>
      </c>
      <c r="M99" s="4" t="s">
        <v>177</v>
      </c>
      <c r="N99" s="3">
        <v>1290</v>
      </c>
    </row>
    <row r="100" spans="1:14" ht="24.75" customHeight="1">
      <c r="A100" s="3">
        <v>98</v>
      </c>
      <c r="B100" s="4" t="s">
        <v>174</v>
      </c>
      <c r="C100" s="4" t="s">
        <v>374</v>
      </c>
      <c r="D100" s="4" t="s">
        <v>376</v>
      </c>
      <c r="E100" s="4"/>
      <c r="F100" s="4"/>
      <c r="G100" s="4"/>
      <c r="H100" s="4"/>
      <c r="I100" s="6">
        <v>5</v>
      </c>
      <c r="J100" s="6">
        <v>200</v>
      </c>
      <c r="K100" s="6">
        <v>7</v>
      </c>
      <c r="L100" s="4" t="s">
        <v>377</v>
      </c>
      <c r="M100" s="4" t="s">
        <v>177</v>
      </c>
      <c r="N100" s="3">
        <v>1290</v>
      </c>
    </row>
    <row r="101" spans="1:14" ht="24.75" customHeight="1">
      <c r="A101" s="3">
        <v>99</v>
      </c>
      <c r="B101" s="4" t="s">
        <v>174</v>
      </c>
      <c r="C101" s="4" t="s">
        <v>374</v>
      </c>
      <c r="D101" s="4" t="s">
        <v>378</v>
      </c>
      <c r="E101" s="4"/>
      <c r="F101" s="4"/>
      <c r="G101" s="4"/>
      <c r="H101" s="4"/>
      <c r="I101" s="6">
        <v>5</v>
      </c>
      <c r="J101" s="6">
        <v>200</v>
      </c>
      <c r="K101" s="6">
        <v>7</v>
      </c>
      <c r="L101" s="4" t="s">
        <v>379</v>
      </c>
      <c r="M101" s="4" t="s">
        <v>177</v>
      </c>
      <c r="N101" s="3">
        <v>1290</v>
      </c>
    </row>
    <row r="102" spans="1:14" ht="24.75" customHeight="1">
      <c r="A102" s="3">
        <v>100</v>
      </c>
      <c r="B102" s="4" t="s">
        <v>174</v>
      </c>
      <c r="C102" s="4" t="s">
        <v>374</v>
      </c>
      <c r="D102" s="4" t="s">
        <v>380</v>
      </c>
      <c r="E102" s="4"/>
      <c r="F102" s="4"/>
      <c r="G102" s="4"/>
      <c r="H102" s="4"/>
      <c r="I102" s="6">
        <v>5</v>
      </c>
      <c r="J102" s="6">
        <v>200</v>
      </c>
      <c r="K102" s="6">
        <v>7</v>
      </c>
      <c r="L102" s="4" t="s">
        <v>381</v>
      </c>
      <c r="M102" s="4" t="s">
        <v>177</v>
      </c>
      <c r="N102" s="3">
        <v>1290</v>
      </c>
    </row>
    <row r="103" spans="1:14" ht="24.75" customHeight="1">
      <c r="A103" s="3">
        <v>101</v>
      </c>
      <c r="B103" s="4" t="s">
        <v>174</v>
      </c>
      <c r="C103" s="4" t="s">
        <v>374</v>
      </c>
      <c r="D103" s="4" t="s">
        <v>382</v>
      </c>
      <c r="E103" s="4"/>
      <c r="F103" s="4"/>
      <c r="G103" s="4"/>
      <c r="H103" s="4"/>
      <c r="I103" s="6">
        <v>4</v>
      </c>
      <c r="J103" s="6">
        <v>200</v>
      </c>
      <c r="K103" s="6">
        <v>7</v>
      </c>
      <c r="L103" s="4" t="s">
        <v>383</v>
      </c>
      <c r="M103" s="4" t="s">
        <v>186</v>
      </c>
      <c r="N103" s="3">
        <v>995</v>
      </c>
    </row>
    <row r="104" spans="1:14" ht="24.75" customHeight="1">
      <c r="A104" s="3">
        <v>102</v>
      </c>
      <c r="B104" s="4" t="s">
        <v>174</v>
      </c>
      <c r="C104" s="4" t="s">
        <v>374</v>
      </c>
      <c r="D104" s="4" t="s">
        <v>384</v>
      </c>
      <c r="E104" s="4"/>
      <c r="F104" s="4"/>
      <c r="G104" s="4"/>
      <c r="H104" s="4"/>
      <c r="I104" s="6">
        <v>4</v>
      </c>
      <c r="J104" s="6">
        <v>200</v>
      </c>
      <c r="K104" s="6">
        <v>7</v>
      </c>
      <c r="L104" s="4" t="s">
        <v>385</v>
      </c>
      <c r="M104" s="4" t="s">
        <v>186</v>
      </c>
      <c r="N104" s="3">
        <v>995</v>
      </c>
    </row>
    <row r="105" spans="1:14" ht="24.75" customHeight="1">
      <c r="A105" s="3">
        <v>103</v>
      </c>
      <c r="B105" s="4" t="s">
        <v>174</v>
      </c>
      <c r="C105" s="4" t="s">
        <v>374</v>
      </c>
      <c r="D105" s="4" t="s">
        <v>386</v>
      </c>
      <c r="E105" s="4"/>
      <c r="F105" s="4"/>
      <c r="G105" s="4"/>
      <c r="H105" s="4"/>
      <c r="I105" s="6">
        <v>5</v>
      </c>
      <c r="J105" s="6">
        <v>200</v>
      </c>
      <c r="K105" s="6">
        <v>7</v>
      </c>
      <c r="L105" s="4" t="s">
        <v>387</v>
      </c>
      <c r="M105" s="4" t="s">
        <v>177</v>
      </c>
      <c r="N105" s="3">
        <v>1290</v>
      </c>
    </row>
    <row r="106" spans="1:14" ht="24.75" customHeight="1">
      <c r="A106" s="3">
        <v>104</v>
      </c>
      <c r="B106" s="4" t="s">
        <v>174</v>
      </c>
      <c r="C106" s="4" t="s">
        <v>144</v>
      </c>
      <c r="D106" s="4" t="s">
        <v>389</v>
      </c>
      <c r="E106" s="4"/>
      <c r="F106" s="4"/>
      <c r="G106" s="4"/>
      <c r="H106" s="4"/>
      <c r="I106" s="6">
        <v>5</v>
      </c>
      <c r="J106" s="6">
        <v>200</v>
      </c>
      <c r="K106" s="6">
        <v>7</v>
      </c>
      <c r="L106" s="4" t="s">
        <v>390</v>
      </c>
      <c r="M106" s="4" t="s">
        <v>177</v>
      </c>
      <c r="N106" s="3">
        <v>1290</v>
      </c>
    </row>
    <row r="107" spans="1:14" ht="24.75" customHeight="1">
      <c r="A107" s="3">
        <v>105</v>
      </c>
      <c r="B107" s="4" t="s">
        <v>174</v>
      </c>
      <c r="C107" s="4" t="s">
        <v>144</v>
      </c>
      <c r="D107" s="4" t="s">
        <v>391</v>
      </c>
      <c r="E107" s="4"/>
      <c r="F107" s="4"/>
      <c r="G107" s="4"/>
      <c r="H107" s="4"/>
      <c r="I107" s="6">
        <v>5</v>
      </c>
      <c r="J107" s="6">
        <v>200</v>
      </c>
      <c r="K107" s="6">
        <v>7</v>
      </c>
      <c r="L107" s="4" t="s">
        <v>392</v>
      </c>
      <c r="M107" s="4" t="s">
        <v>177</v>
      </c>
      <c r="N107" s="3">
        <v>1290</v>
      </c>
    </row>
    <row r="108" spans="1:14" ht="24.75" customHeight="1">
      <c r="A108" s="3">
        <v>106</v>
      </c>
      <c r="B108" s="4" t="s">
        <v>174</v>
      </c>
      <c r="C108" s="4" t="s">
        <v>144</v>
      </c>
      <c r="D108" s="4" t="s">
        <v>393</v>
      </c>
      <c r="E108" s="4"/>
      <c r="F108" s="4"/>
      <c r="G108" s="4"/>
      <c r="H108" s="4"/>
      <c r="I108" s="6">
        <v>5</v>
      </c>
      <c r="J108" s="6">
        <v>200</v>
      </c>
      <c r="K108" s="6">
        <v>7</v>
      </c>
      <c r="L108" s="4" t="s">
        <v>394</v>
      </c>
      <c r="M108" s="4" t="s">
        <v>177</v>
      </c>
      <c r="N108" s="3">
        <v>1290</v>
      </c>
    </row>
    <row r="109" spans="1:14" ht="24.75" customHeight="1">
      <c r="A109" s="3">
        <v>107</v>
      </c>
      <c r="B109" s="4" t="s">
        <v>174</v>
      </c>
      <c r="C109" s="4" t="s">
        <v>144</v>
      </c>
      <c r="D109" s="4" t="s">
        <v>395</v>
      </c>
      <c r="E109" s="4"/>
      <c r="F109" s="4"/>
      <c r="G109" s="4"/>
      <c r="H109" s="4"/>
      <c r="I109" s="6">
        <v>5</v>
      </c>
      <c r="J109" s="6">
        <v>200</v>
      </c>
      <c r="K109" s="6">
        <v>7</v>
      </c>
      <c r="L109" s="4" t="s">
        <v>396</v>
      </c>
      <c r="M109" s="4" t="s">
        <v>177</v>
      </c>
      <c r="N109" s="3">
        <v>1290</v>
      </c>
    </row>
    <row r="110" spans="1:14" ht="24.75" customHeight="1">
      <c r="A110" s="3">
        <v>108</v>
      </c>
      <c r="B110" s="4" t="s">
        <v>174</v>
      </c>
      <c r="C110" s="4" t="s">
        <v>144</v>
      </c>
      <c r="D110" s="4" t="s">
        <v>397</v>
      </c>
      <c r="E110" s="4"/>
      <c r="F110" s="4"/>
      <c r="G110" s="4"/>
      <c r="H110" s="4"/>
      <c r="I110" s="6">
        <v>4</v>
      </c>
      <c r="J110" s="6">
        <v>200</v>
      </c>
      <c r="K110" s="6">
        <v>7</v>
      </c>
      <c r="L110" s="4" t="s">
        <v>398</v>
      </c>
      <c r="M110" s="4" t="s">
        <v>186</v>
      </c>
      <c r="N110" s="3">
        <v>995</v>
      </c>
    </row>
    <row r="111" spans="1:14" ht="24.75" customHeight="1">
      <c r="A111" s="3">
        <v>109</v>
      </c>
      <c r="B111" s="4" t="s">
        <v>174</v>
      </c>
      <c r="C111" s="4" t="s">
        <v>144</v>
      </c>
      <c r="D111" s="4" t="s">
        <v>399</v>
      </c>
      <c r="E111" s="4"/>
      <c r="F111" s="4"/>
      <c r="G111" s="4"/>
      <c r="H111" s="4"/>
      <c r="I111" s="6">
        <v>4</v>
      </c>
      <c r="J111" s="6">
        <v>200</v>
      </c>
      <c r="K111" s="6">
        <v>7</v>
      </c>
      <c r="L111" s="4" t="s">
        <v>398</v>
      </c>
      <c r="M111" s="4" t="s">
        <v>186</v>
      </c>
      <c r="N111" s="3">
        <v>995</v>
      </c>
    </row>
    <row r="112" spans="1:14" ht="24.75" customHeight="1">
      <c r="A112" s="3">
        <v>110</v>
      </c>
      <c r="B112" s="4" t="s">
        <v>174</v>
      </c>
      <c r="C112" s="4" t="s">
        <v>144</v>
      </c>
      <c r="D112" s="4" t="s">
        <v>400</v>
      </c>
      <c r="E112" s="4"/>
      <c r="F112" s="4"/>
      <c r="G112" s="4"/>
      <c r="H112" s="4"/>
      <c r="I112" s="6">
        <v>5</v>
      </c>
      <c r="J112" s="6">
        <v>200</v>
      </c>
      <c r="K112" s="6">
        <v>7</v>
      </c>
      <c r="L112" s="4" t="s">
        <v>401</v>
      </c>
      <c r="M112" s="4" t="s">
        <v>177</v>
      </c>
      <c r="N112" s="3">
        <v>1290</v>
      </c>
    </row>
    <row r="113" spans="1:14" ht="24.75" customHeight="1">
      <c r="A113" s="3">
        <v>111</v>
      </c>
      <c r="B113" s="4" t="s">
        <v>174</v>
      </c>
      <c r="C113" s="4" t="s">
        <v>152</v>
      </c>
      <c r="D113" s="4" t="s">
        <v>403</v>
      </c>
      <c r="E113" s="4"/>
      <c r="F113" s="4"/>
      <c r="G113" s="4"/>
      <c r="H113" s="4"/>
      <c r="I113" s="6">
        <v>5</v>
      </c>
      <c r="J113" s="6">
        <v>200</v>
      </c>
      <c r="K113" s="6">
        <v>7</v>
      </c>
      <c r="L113" s="4" t="s">
        <v>404</v>
      </c>
      <c r="M113" s="4" t="s">
        <v>177</v>
      </c>
      <c r="N113" s="3">
        <v>1290</v>
      </c>
    </row>
    <row r="114" spans="1:14" ht="24.75" customHeight="1">
      <c r="A114" s="3">
        <v>112</v>
      </c>
      <c r="B114" s="4" t="s">
        <v>174</v>
      </c>
      <c r="C114" s="4" t="s">
        <v>152</v>
      </c>
      <c r="D114" s="4" t="s">
        <v>405</v>
      </c>
      <c r="E114" s="4"/>
      <c r="F114" s="4"/>
      <c r="G114" s="4"/>
      <c r="H114" s="4"/>
      <c r="I114" s="6">
        <v>5</v>
      </c>
      <c r="J114" s="6">
        <v>200</v>
      </c>
      <c r="K114" s="6">
        <v>7</v>
      </c>
      <c r="L114" s="4" t="s">
        <v>406</v>
      </c>
      <c r="M114" s="4" t="s">
        <v>177</v>
      </c>
      <c r="N114" s="3">
        <v>1290</v>
      </c>
    </row>
    <row r="115" spans="1:14" ht="24.75" customHeight="1">
      <c r="A115" s="3">
        <v>113</v>
      </c>
      <c r="B115" s="4" t="s">
        <v>174</v>
      </c>
      <c r="C115" s="4" t="s">
        <v>152</v>
      </c>
      <c r="D115" s="4" t="s">
        <v>407</v>
      </c>
      <c r="E115" s="4"/>
      <c r="F115" s="4"/>
      <c r="G115" s="4"/>
      <c r="H115" s="4"/>
      <c r="I115" s="6">
        <v>5</v>
      </c>
      <c r="J115" s="6">
        <v>200</v>
      </c>
      <c r="K115" s="6">
        <v>7</v>
      </c>
      <c r="L115" s="4" t="s">
        <v>408</v>
      </c>
      <c r="M115" s="4" t="s">
        <v>177</v>
      </c>
      <c r="N115" s="3">
        <v>1290</v>
      </c>
    </row>
    <row r="116" spans="1:14" ht="24.75" customHeight="1">
      <c r="A116" s="3">
        <v>114</v>
      </c>
      <c r="B116" s="4" t="s">
        <v>174</v>
      </c>
      <c r="C116" s="4" t="s">
        <v>152</v>
      </c>
      <c r="D116" s="4" t="s">
        <v>409</v>
      </c>
      <c r="E116" s="4"/>
      <c r="F116" s="4"/>
      <c r="G116" s="4"/>
      <c r="H116" s="4"/>
      <c r="I116" s="6">
        <v>5</v>
      </c>
      <c r="J116" s="6">
        <v>200</v>
      </c>
      <c r="K116" s="6">
        <v>7</v>
      </c>
      <c r="L116" s="4" t="s">
        <v>410</v>
      </c>
      <c r="M116" s="4" t="s">
        <v>177</v>
      </c>
      <c r="N116" s="3">
        <v>1290</v>
      </c>
    </row>
    <row r="117" spans="1:14" ht="24.75" customHeight="1">
      <c r="A117" s="3">
        <v>115</v>
      </c>
      <c r="B117" s="4" t="s">
        <v>174</v>
      </c>
      <c r="C117" s="4" t="s">
        <v>152</v>
      </c>
      <c r="D117" s="4" t="s">
        <v>411</v>
      </c>
      <c r="E117" s="4"/>
      <c r="F117" s="4"/>
      <c r="G117" s="4"/>
      <c r="H117" s="4"/>
      <c r="I117" s="6">
        <v>4</v>
      </c>
      <c r="J117" s="6">
        <v>200</v>
      </c>
      <c r="K117" s="6">
        <v>7</v>
      </c>
      <c r="L117" s="4" t="s">
        <v>412</v>
      </c>
      <c r="M117" s="4" t="s">
        <v>186</v>
      </c>
      <c r="N117" s="3">
        <v>995</v>
      </c>
    </row>
    <row r="118" spans="1:14" ht="24.75" customHeight="1">
      <c r="A118" s="3">
        <v>116</v>
      </c>
      <c r="B118" s="4" t="s">
        <v>174</v>
      </c>
      <c r="C118" s="4" t="s">
        <v>152</v>
      </c>
      <c r="D118" s="4" t="s">
        <v>413</v>
      </c>
      <c r="E118" s="4"/>
      <c r="F118" s="4"/>
      <c r="G118" s="4"/>
      <c r="H118" s="4"/>
      <c r="I118" s="6">
        <v>4</v>
      </c>
      <c r="J118" s="6">
        <v>200</v>
      </c>
      <c r="K118" s="6">
        <v>7</v>
      </c>
      <c r="L118" s="4" t="s">
        <v>414</v>
      </c>
      <c r="M118" s="4" t="s">
        <v>186</v>
      </c>
      <c r="N118" s="3">
        <v>995</v>
      </c>
    </row>
    <row r="119" spans="1:14" ht="24.75" customHeight="1">
      <c r="A119" s="3">
        <v>117</v>
      </c>
      <c r="B119" s="4" t="s">
        <v>174</v>
      </c>
      <c r="C119" s="4" t="s">
        <v>160</v>
      </c>
      <c r="D119" s="4" t="s">
        <v>417</v>
      </c>
      <c r="E119" s="4"/>
      <c r="F119" s="4"/>
      <c r="G119" s="4"/>
      <c r="H119" s="4"/>
      <c r="I119" s="6">
        <v>5</v>
      </c>
      <c r="J119" s="6">
        <v>200</v>
      </c>
      <c r="K119" s="6">
        <v>7</v>
      </c>
      <c r="L119" s="4" t="s">
        <v>418</v>
      </c>
      <c r="M119" s="4" t="s">
        <v>177</v>
      </c>
      <c r="N119" s="3">
        <v>1290</v>
      </c>
    </row>
    <row r="120" spans="1:14" ht="24.75" customHeight="1">
      <c r="A120" s="3">
        <v>118</v>
      </c>
      <c r="B120" s="4" t="s">
        <v>174</v>
      </c>
      <c r="C120" s="4" t="s">
        <v>160</v>
      </c>
      <c r="D120" s="4" t="s">
        <v>419</v>
      </c>
      <c r="E120" s="4"/>
      <c r="F120" s="4"/>
      <c r="G120" s="4"/>
      <c r="H120" s="4"/>
      <c r="I120" s="6">
        <v>5</v>
      </c>
      <c r="J120" s="6">
        <v>200</v>
      </c>
      <c r="K120" s="6">
        <v>7</v>
      </c>
      <c r="L120" s="4" t="s">
        <v>420</v>
      </c>
      <c r="M120" s="4" t="s">
        <v>177</v>
      </c>
      <c r="N120" s="3">
        <v>1290</v>
      </c>
    </row>
    <row r="121" spans="1:14" ht="24.75" customHeight="1">
      <c r="A121" s="3">
        <v>119</v>
      </c>
      <c r="B121" s="4" t="s">
        <v>174</v>
      </c>
      <c r="C121" s="4" t="s">
        <v>160</v>
      </c>
      <c r="D121" s="4" t="s">
        <v>421</v>
      </c>
      <c r="E121" s="4"/>
      <c r="F121" s="4"/>
      <c r="G121" s="4"/>
      <c r="H121" s="4"/>
      <c r="I121" s="6">
        <v>5</v>
      </c>
      <c r="J121" s="6">
        <v>200</v>
      </c>
      <c r="K121" s="6">
        <v>7</v>
      </c>
      <c r="L121" s="4" t="s">
        <v>422</v>
      </c>
      <c r="M121" s="4" t="s">
        <v>177</v>
      </c>
      <c r="N121" s="3">
        <v>1290</v>
      </c>
    </row>
    <row r="122" spans="1:14" ht="24.75" customHeight="1">
      <c r="A122" s="3">
        <v>120</v>
      </c>
      <c r="B122" s="4" t="s">
        <v>174</v>
      </c>
      <c r="C122" s="4" t="s">
        <v>160</v>
      </c>
      <c r="D122" s="4" t="s">
        <v>423</v>
      </c>
      <c r="E122" s="4"/>
      <c r="F122" s="4"/>
      <c r="G122" s="4"/>
      <c r="H122" s="4"/>
      <c r="I122" s="6">
        <v>5</v>
      </c>
      <c r="J122" s="6">
        <v>200</v>
      </c>
      <c r="K122" s="6">
        <v>7</v>
      </c>
      <c r="L122" s="4" t="s">
        <v>424</v>
      </c>
      <c r="M122" s="4" t="s">
        <v>177</v>
      </c>
      <c r="N122" s="3">
        <v>1290</v>
      </c>
    </row>
    <row r="123" spans="1:14" ht="24.75" customHeight="1">
      <c r="A123" s="3">
        <v>121</v>
      </c>
      <c r="B123" s="4" t="s">
        <v>174</v>
      </c>
      <c r="C123" s="4" t="s">
        <v>160</v>
      </c>
      <c r="D123" s="4" t="s">
        <v>425</v>
      </c>
      <c r="E123" s="4"/>
      <c r="F123" s="4"/>
      <c r="G123" s="4"/>
      <c r="H123" s="4"/>
      <c r="I123" s="6">
        <v>4</v>
      </c>
      <c r="J123" s="6">
        <v>200</v>
      </c>
      <c r="K123" s="6">
        <v>7</v>
      </c>
      <c r="L123" s="4" t="s">
        <v>318</v>
      </c>
      <c r="M123" s="4" t="s">
        <v>186</v>
      </c>
      <c r="N123" s="3">
        <v>995</v>
      </c>
    </row>
    <row r="124" spans="1:14" ht="24.75" customHeight="1">
      <c r="A124" s="3">
        <v>122</v>
      </c>
      <c r="B124" s="4" t="s">
        <v>174</v>
      </c>
      <c r="C124" s="4" t="s">
        <v>160</v>
      </c>
      <c r="D124" s="4" t="s">
        <v>426</v>
      </c>
      <c r="E124" s="4"/>
      <c r="F124" s="4"/>
      <c r="G124" s="4"/>
      <c r="H124" s="4"/>
      <c r="I124" s="6">
        <v>4</v>
      </c>
      <c r="J124" s="6">
        <v>200</v>
      </c>
      <c r="K124" s="6">
        <v>7</v>
      </c>
      <c r="L124" s="4" t="s">
        <v>427</v>
      </c>
      <c r="M124" s="4" t="s">
        <v>186</v>
      </c>
      <c r="N124" s="3">
        <v>995</v>
      </c>
    </row>
    <row r="125" spans="1:14" ht="24.75" customHeight="1">
      <c r="A125" s="3">
        <v>123</v>
      </c>
      <c r="B125" s="4" t="s">
        <v>174</v>
      </c>
      <c r="C125" s="4" t="s">
        <v>430</v>
      </c>
      <c r="D125" s="4" t="s">
        <v>432</v>
      </c>
      <c r="E125" s="4"/>
      <c r="F125" s="4"/>
      <c r="G125" s="4"/>
      <c r="H125" s="4"/>
      <c r="I125" s="6">
        <v>5</v>
      </c>
      <c r="J125" s="6">
        <v>200</v>
      </c>
      <c r="K125" s="6">
        <v>7</v>
      </c>
      <c r="L125" s="4" t="s">
        <v>433</v>
      </c>
      <c r="M125" s="4" t="s">
        <v>177</v>
      </c>
      <c r="N125" s="3">
        <v>1290</v>
      </c>
    </row>
    <row r="126" spans="1:14" ht="24.75" customHeight="1">
      <c r="A126" s="3">
        <v>124</v>
      </c>
      <c r="B126" s="4" t="s">
        <v>174</v>
      </c>
      <c r="C126" s="4" t="s">
        <v>430</v>
      </c>
      <c r="D126" s="4" t="s">
        <v>435</v>
      </c>
      <c r="E126" s="4"/>
      <c r="F126" s="4"/>
      <c r="G126" s="4"/>
      <c r="H126" s="4"/>
      <c r="I126" s="6">
        <v>5</v>
      </c>
      <c r="J126" s="6">
        <v>200</v>
      </c>
      <c r="K126" s="6">
        <v>7</v>
      </c>
      <c r="L126" s="4" t="s">
        <v>436</v>
      </c>
      <c r="M126" s="4" t="s">
        <v>177</v>
      </c>
      <c r="N126" s="3">
        <v>1290</v>
      </c>
    </row>
    <row r="127" spans="1:14" ht="24.75" customHeight="1">
      <c r="A127" s="3">
        <v>125</v>
      </c>
      <c r="B127" s="4" t="s">
        <v>174</v>
      </c>
      <c r="C127" s="4" t="s">
        <v>441</v>
      </c>
      <c r="D127" s="4" t="s">
        <v>443</v>
      </c>
      <c r="E127" s="4"/>
      <c r="F127" s="4"/>
      <c r="G127" s="4"/>
      <c r="H127" s="4"/>
      <c r="I127" s="6">
        <v>5</v>
      </c>
      <c r="J127" s="6">
        <v>200</v>
      </c>
      <c r="K127" s="6">
        <v>7</v>
      </c>
      <c r="L127" s="4" t="s">
        <v>444</v>
      </c>
      <c r="M127" s="4" t="s">
        <v>177</v>
      </c>
      <c r="N127" s="3">
        <v>1290</v>
      </c>
    </row>
    <row r="128" spans="1:14" ht="24.75" customHeight="1">
      <c r="A128" s="3">
        <v>126</v>
      </c>
      <c r="B128" s="4" t="s">
        <v>174</v>
      </c>
      <c r="C128" s="4" t="s">
        <v>441</v>
      </c>
      <c r="D128" s="4" t="s">
        <v>446</v>
      </c>
      <c r="E128" s="4"/>
      <c r="F128" s="4"/>
      <c r="G128" s="4"/>
      <c r="H128" s="4"/>
      <c r="I128" s="6">
        <v>5</v>
      </c>
      <c r="J128" s="6">
        <v>200</v>
      </c>
      <c r="K128" s="6">
        <v>7</v>
      </c>
      <c r="L128" s="4" t="s">
        <v>447</v>
      </c>
      <c r="M128" s="4" t="s">
        <v>177</v>
      </c>
      <c r="N128" s="3">
        <v>1290</v>
      </c>
    </row>
    <row r="129" spans="1:14" ht="24.75" customHeight="1">
      <c r="A129" s="3">
        <v>127</v>
      </c>
      <c r="B129" s="4" t="s">
        <v>174</v>
      </c>
      <c r="C129" s="4" t="s">
        <v>441</v>
      </c>
      <c r="D129" s="4" t="s">
        <v>449</v>
      </c>
      <c r="E129" s="4"/>
      <c r="F129" s="4"/>
      <c r="G129" s="4"/>
      <c r="H129" s="4"/>
      <c r="I129" s="6">
        <v>4</v>
      </c>
      <c r="J129" s="6">
        <v>200</v>
      </c>
      <c r="K129" s="6">
        <v>7</v>
      </c>
      <c r="L129" s="4" t="s">
        <v>134</v>
      </c>
      <c r="M129" s="4" t="s">
        <v>186</v>
      </c>
      <c r="N129" s="3">
        <v>995</v>
      </c>
    </row>
    <row r="130" spans="1:14" ht="12.75" customHeight="1"/>
    <row r="131" spans="1:14" ht="12.75" customHeight="1"/>
    <row r="132" spans="1:14" ht="12.75" customHeight="1"/>
    <row r="133" spans="1:14" ht="12.75" customHeight="1"/>
    <row r="134" spans="1:14" ht="12.75" customHeight="1"/>
    <row r="135" spans="1:14" ht="12.75" customHeight="1"/>
    <row r="136" spans="1:14" ht="12.75" customHeight="1"/>
    <row r="137" spans="1:14" ht="12.75" customHeight="1"/>
    <row r="138" spans="1:14" ht="12.75" customHeight="1"/>
    <row r="139" spans="1:14" ht="12.75" customHeight="1"/>
    <row r="140" spans="1:14" ht="12.75" customHeight="1"/>
    <row r="141" spans="1:14" ht="12.75" customHeight="1"/>
    <row r="142" spans="1:14" ht="12.75" customHeight="1"/>
    <row r="143" spans="1:14" ht="12.75" customHeight="1"/>
    <row r="144" spans="1:1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H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1"/>
  <sheetViews>
    <sheetView workbookViewId="0"/>
  </sheetViews>
  <sheetFormatPr defaultColWidth="12.6640625" defaultRowHeight="15" customHeight="1"/>
  <cols>
    <col min="1" max="1" width="5.44140625" customWidth="1"/>
    <col min="2" max="2" width="6.21875" customWidth="1"/>
    <col min="3" max="3" width="12.88671875" customWidth="1"/>
    <col min="4" max="4" width="8.44140625" customWidth="1"/>
    <col min="5" max="5" width="16.6640625" customWidth="1"/>
    <col min="6" max="6" width="12.44140625" customWidth="1"/>
    <col min="7" max="7" width="16.6640625" customWidth="1"/>
    <col min="8" max="8" width="14.44140625" customWidth="1"/>
    <col min="9" max="9" width="15.109375" customWidth="1"/>
    <col min="10" max="10" width="16.109375" customWidth="1"/>
    <col min="11" max="11" width="13.77734375" customWidth="1"/>
    <col min="12" max="12" width="26" customWidth="1"/>
    <col min="13" max="13" width="18.44140625" customWidth="1"/>
    <col min="14" max="26" width="8.6640625" customWidth="1"/>
  </cols>
  <sheetData>
    <row r="1" spans="1:14" ht="12.75" customHeight="1">
      <c r="A1" s="33" t="s">
        <v>955</v>
      </c>
      <c r="B1" s="34"/>
      <c r="C1" s="34"/>
      <c r="D1" s="34"/>
      <c r="E1" s="34"/>
      <c r="F1" s="34"/>
      <c r="G1" s="34"/>
      <c r="H1" s="34"/>
    </row>
    <row r="2" spans="1:14" ht="12.75" customHeight="1">
      <c r="A2" s="17" t="s">
        <v>0</v>
      </c>
      <c r="B2" s="17" t="s">
        <v>1</v>
      </c>
      <c r="C2" s="17" t="s">
        <v>2</v>
      </c>
      <c r="D2" s="17" t="s">
        <v>3</v>
      </c>
      <c r="E2" s="17" t="s">
        <v>943</v>
      </c>
      <c r="F2" s="18" t="s">
        <v>944</v>
      </c>
      <c r="G2" s="18" t="s">
        <v>945</v>
      </c>
      <c r="H2" s="18" t="s">
        <v>13</v>
      </c>
      <c r="I2" s="20" t="s">
        <v>946</v>
      </c>
      <c r="J2" s="20" t="s">
        <v>947</v>
      </c>
      <c r="K2" s="20" t="s">
        <v>948</v>
      </c>
      <c r="L2" s="17" t="s">
        <v>17</v>
      </c>
      <c r="M2" s="17" t="s">
        <v>19</v>
      </c>
      <c r="N2" s="17" t="s">
        <v>18</v>
      </c>
    </row>
    <row r="3" spans="1:14" ht="24.75" customHeight="1">
      <c r="A3" s="3">
        <v>1</v>
      </c>
      <c r="B3" s="4" t="s">
        <v>452</v>
      </c>
      <c r="C3" s="4" t="s">
        <v>453</v>
      </c>
      <c r="D3" s="4" t="s">
        <v>454</v>
      </c>
      <c r="E3" s="4"/>
      <c r="F3" s="4"/>
      <c r="G3" s="4"/>
      <c r="H3" s="4"/>
      <c r="I3" s="6">
        <v>4</v>
      </c>
      <c r="J3" s="6">
        <v>200</v>
      </c>
      <c r="K3" s="6">
        <v>7</v>
      </c>
      <c r="L3" s="4" t="s">
        <v>455</v>
      </c>
      <c r="M3" s="4" t="s">
        <v>177</v>
      </c>
      <c r="N3" s="3">
        <v>1290</v>
      </c>
    </row>
    <row r="4" spans="1:14" ht="24.75" customHeight="1">
      <c r="A4" s="3">
        <v>2</v>
      </c>
      <c r="B4" s="4" t="s">
        <v>452</v>
      </c>
      <c r="C4" s="4" t="s">
        <v>453</v>
      </c>
      <c r="D4" s="4" t="s">
        <v>456</v>
      </c>
      <c r="E4" s="4"/>
      <c r="F4" s="4"/>
      <c r="G4" s="4"/>
      <c r="H4" s="4"/>
      <c r="I4" s="6">
        <v>4</v>
      </c>
      <c r="J4" s="6">
        <v>200</v>
      </c>
      <c r="K4" s="6">
        <v>7</v>
      </c>
      <c r="L4" s="4" t="s">
        <v>457</v>
      </c>
      <c r="M4" s="4" t="s">
        <v>177</v>
      </c>
      <c r="N4" s="3">
        <v>1290</v>
      </c>
    </row>
    <row r="5" spans="1:14" ht="24.75" customHeight="1">
      <c r="A5" s="3">
        <v>3</v>
      </c>
      <c r="B5" s="4" t="s">
        <v>452</v>
      </c>
      <c r="C5" s="4" t="s">
        <v>453</v>
      </c>
      <c r="D5" s="4" t="s">
        <v>459</v>
      </c>
      <c r="E5" s="4"/>
      <c r="F5" s="4"/>
      <c r="G5" s="4"/>
      <c r="H5" s="4"/>
      <c r="I5" s="6">
        <v>4</v>
      </c>
      <c r="J5" s="6">
        <v>200</v>
      </c>
      <c r="K5" s="6">
        <v>7</v>
      </c>
      <c r="L5" s="4" t="s">
        <v>460</v>
      </c>
      <c r="M5" s="4" t="s">
        <v>186</v>
      </c>
      <c r="N5" s="3">
        <v>995</v>
      </c>
    </row>
    <row r="6" spans="1:14" ht="24.75" customHeight="1">
      <c r="A6" s="3">
        <v>4</v>
      </c>
      <c r="B6" s="4" t="s">
        <v>452</v>
      </c>
      <c r="C6" s="4" t="s">
        <v>453</v>
      </c>
      <c r="D6" s="4" t="s">
        <v>461</v>
      </c>
      <c r="E6" s="4"/>
      <c r="F6" s="4"/>
      <c r="G6" s="4"/>
      <c r="H6" s="4"/>
      <c r="I6" s="6">
        <v>4</v>
      </c>
      <c r="J6" s="6">
        <v>200</v>
      </c>
      <c r="K6" s="6">
        <v>7</v>
      </c>
      <c r="L6" s="4" t="s">
        <v>462</v>
      </c>
      <c r="M6" s="4" t="s">
        <v>186</v>
      </c>
      <c r="N6" s="3">
        <v>995</v>
      </c>
    </row>
    <row r="7" spans="1:14" ht="24.75" customHeight="1">
      <c r="A7" s="3">
        <v>5</v>
      </c>
      <c r="B7" s="4" t="s">
        <v>452</v>
      </c>
      <c r="C7" s="4" t="s">
        <v>453</v>
      </c>
      <c r="D7" s="4" t="s">
        <v>463</v>
      </c>
      <c r="E7" s="4"/>
      <c r="F7" s="4"/>
      <c r="G7" s="4"/>
      <c r="H7" s="4"/>
      <c r="I7" s="6">
        <v>4</v>
      </c>
      <c r="J7" s="6">
        <v>200</v>
      </c>
      <c r="K7" s="6">
        <v>7</v>
      </c>
      <c r="L7" s="4" t="s">
        <v>464</v>
      </c>
      <c r="M7" s="4" t="s">
        <v>186</v>
      </c>
      <c r="N7" s="3">
        <v>995</v>
      </c>
    </row>
    <row r="8" spans="1:14" ht="24.75" customHeight="1">
      <c r="A8" s="3">
        <v>6</v>
      </c>
      <c r="B8" s="4" t="s">
        <v>452</v>
      </c>
      <c r="C8" s="4" t="s">
        <v>453</v>
      </c>
      <c r="D8" s="4" t="s">
        <v>465</v>
      </c>
      <c r="E8" s="4"/>
      <c r="F8" s="4"/>
      <c r="G8" s="4"/>
      <c r="H8" s="4"/>
      <c r="I8" s="6">
        <v>4</v>
      </c>
      <c r="J8" s="6">
        <v>200</v>
      </c>
      <c r="K8" s="6">
        <v>7</v>
      </c>
      <c r="L8" s="4" t="s">
        <v>464</v>
      </c>
      <c r="M8" s="4" t="s">
        <v>186</v>
      </c>
      <c r="N8" s="3">
        <v>995</v>
      </c>
    </row>
    <row r="9" spans="1:14" ht="24.75" customHeight="1">
      <c r="A9" s="3">
        <v>7</v>
      </c>
      <c r="B9" s="4" t="s">
        <v>452</v>
      </c>
      <c r="C9" s="4" t="s">
        <v>453</v>
      </c>
      <c r="D9" s="4" t="s">
        <v>466</v>
      </c>
      <c r="E9" s="4"/>
      <c r="F9" s="4"/>
      <c r="G9" s="4"/>
      <c r="H9" s="4"/>
      <c r="I9" s="6">
        <v>4</v>
      </c>
      <c r="J9" s="6">
        <v>200</v>
      </c>
      <c r="K9" s="6">
        <v>7</v>
      </c>
      <c r="L9" s="4" t="s">
        <v>467</v>
      </c>
      <c r="M9" s="4" t="s">
        <v>186</v>
      </c>
      <c r="N9" s="3">
        <v>995</v>
      </c>
    </row>
    <row r="10" spans="1:14" ht="24.75" customHeight="1">
      <c r="A10" s="3">
        <v>8</v>
      </c>
      <c r="B10" s="4" t="s">
        <v>452</v>
      </c>
      <c r="C10" s="4" t="s">
        <v>468</v>
      </c>
      <c r="D10" s="4" t="s">
        <v>470</v>
      </c>
      <c r="E10" s="4"/>
      <c r="F10" s="4"/>
      <c r="G10" s="4"/>
      <c r="H10" s="4"/>
      <c r="I10" s="6">
        <v>4</v>
      </c>
      <c r="J10" s="6">
        <v>200</v>
      </c>
      <c r="K10" s="6">
        <v>7</v>
      </c>
      <c r="L10" s="4" t="s">
        <v>471</v>
      </c>
      <c r="M10" s="4" t="s">
        <v>177</v>
      </c>
      <c r="N10" s="3">
        <v>1290</v>
      </c>
    </row>
    <row r="11" spans="1:14" ht="24.75" customHeight="1">
      <c r="A11" s="3">
        <v>9</v>
      </c>
      <c r="B11" s="4" t="s">
        <v>452</v>
      </c>
      <c r="C11" s="4" t="s">
        <v>468</v>
      </c>
      <c r="D11" s="4" t="s">
        <v>472</v>
      </c>
      <c r="E11" s="4"/>
      <c r="F11" s="4"/>
      <c r="G11" s="4"/>
      <c r="H11" s="4"/>
      <c r="I11" s="6">
        <v>4</v>
      </c>
      <c r="J11" s="6">
        <v>200</v>
      </c>
      <c r="K11" s="6">
        <v>7</v>
      </c>
      <c r="L11" s="4" t="s">
        <v>473</v>
      </c>
      <c r="M11" s="4" t="s">
        <v>186</v>
      </c>
      <c r="N11" s="3">
        <v>995</v>
      </c>
    </row>
    <row r="12" spans="1:14" ht="24.75" customHeight="1">
      <c r="A12" s="3">
        <v>10</v>
      </c>
      <c r="B12" s="4" t="s">
        <v>452</v>
      </c>
      <c r="C12" s="4" t="s">
        <v>468</v>
      </c>
      <c r="D12" s="4" t="s">
        <v>474</v>
      </c>
      <c r="E12" s="4"/>
      <c r="F12" s="4"/>
      <c r="G12" s="4"/>
      <c r="H12" s="4"/>
      <c r="I12" s="6">
        <v>4</v>
      </c>
      <c r="J12" s="6">
        <v>200</v>
      </c>
      <c r="K12" s="6">
        <v>7</v>
      </c>
      <c r="L12" s="4" t="s">
        <v>475</v>
      </c>
      <c r="M12" s="4" t="s">
        <v>186</v>
      </c>
      <c r="N12" s="3">
        <v>995</v>
      </c>
    </row>
    <row r="13" spans="1:14" ht="24.75" customHeight="1">
      <c r="A13" s="3">
        <v>11</v>
      </c>
      <c r="B13" s="4" t="s">
        <v>452</v>
      </c>
      <c r="C13" s="4" t="s">
        <v>468</v>
      </c>
      <c r="D13" s="4" t="s">
        <v>476</v>
      </c>
      <c r="E13" s="4"/>
      <c r="F13" s="4"/>
      <c r="G13" s="4"/>
      <c r="H13" s="4"/>
      <c r="I13" s="6">
        <v>4</v>
      </c>
      <c r="J13" s="6">
        <v>200</v>
      </c>
      <c r="K13" s="6">
        <v>7</v>
      </c>
      <c r="L13" s="4" t="s">
        <v>477</v>
      </c>
      <c r="M13" s="4" t="s">
        <v>186</v>
      </c>
      <c r="N13" s="3">
        <v>995</v>
      </c>
    </row>
    <row r="14" spans="1:14" ht="24.75" customHeight="1">
      <c r="A14" s="3">
        <v>12</v>
      </c>
      <c r="B14" s="4" t="s">
        <v>452</v>
      </c>
      <c r="C14" s="4" t="s">
        <v>468</v>
      </c>
      <c r="D14" s="4" t="s">
        <v>478</v>
      </c>
      <c r="E14" s="4"/>
      <c r="F14" s="4"/>
      <c r="G14" s="4"/>
      <c r="H14" s="4"/>
      <c r="I14" s="6">
        <v>4</v>
      </c>
      <c r="J14" s="6">
        <v>200</v>
      </c>
      <c r="K14" s="6">
        <v>7</v>
      </c>
      <c r="L14" s="4" t="s">
        <v>479</v>
      </c>
      <c r="M14" s="4" t="s">
        <v>186</v>
      </c>
      <c r="N14" s="3">
        <v>995</v>
      </c>
    </row>
    <row r="15" spans="1:14" ht="24.75" customHeight="1">
      <c r="A15" s="3">
        <v>13</v>
      </c>
      <c r="B15" s="4" t="s">
        <v>452</v>
      </c>
      <c r="C15" s="4" t="s">
        <v>468</v>
      </c>
      <c r="D15" s="4" t="s">
        <v>480</v>
      </c>
      <c r="E15" s="4"/>
      <c r="F15" s="4"/>
      <c r="G15" s="4"/>
      <c r="H15" s="4"/>
      <c r="I15" s="6">
        <v>4</v>
      </c>
      <c r="J15" s="6">
        <v>200</v>
      </c>
      <c r="K15" s="6">
        <v>7</v>
      </c>
      <c r="L15" s="4" t="s">
        <v>956</v>
      </c>
      <c r="M15" s="4" t="s">
        <v>186</v>
      </c>
      <c r="N15" s="3">
        <v>995</v>
      </c>
    </row>
    <row r="16" spans="1:14" ht="24.75" customHeight="1">
      <c r="A16" s="3">
        <v>14</v>
      </c>
      <c r="B16" s="4" t="s">
        <v>452</v>
      </c>
      <c r="C16" s="4" t="s">
        <v>468</v>
      </c>
      <c r="D16" s="4" t="s">
        <v>481</v>
      </c>
      <c r="E16" s="4"/>
      <c r="F16" s="4"/>
      <c r="G16" s="4"/>
      <c r="H16" s="4"/>
      <c r="I16" s="6">
        <v>4</v>
      </c>
      <c r="J16" s="6">
        <v>200</v>
      </c>
      <c r="K16" s="6">
        <v>7</v>
      </c>
      <c r="L16" s="4" t="s">
        <v>482</v>
      </c>
      <c r="M16" s="4" t="s">
        <v>186</v>
      </c>
      <c r="N16" s="3">
        <v>995</v>
      </c>
    </row>
    <row r="17" spans="1:14" ht="24.75" customHeight="1">
      <c r="A17" s="3">
        <v>15</v>
      </c>
      <c r="B17" s="4" t="s">
        <v>452</v>
      </c>
      <c r="C17" s="4" t="s">
        <v>483</v>
      </c>
      <c r="D17" s="4" t="s">
        <v>484</v>
      </c>
      <c r="E17" s="4"/>
      <c r="F17" s="4"/>
      <c r="G17" s="4"/>
      <c r="H17" s="4"/>
      <c r="I17" s="6">
        <v>4</v>
      </c>
      <c r="J17" s="6">
        <v>200</v>
      </c>
      <c r="K17" s="6">
        <v>7</v>
      </c>
      <c r="L17" s="4" t="s">
        <v>485</v>
      </c>
      <c r="M17" s="4" t="s">
        <v>177</v>
      </c>
      <c r="N17" s="3">
        <v>1290</v>
      </c>
    </row>
    <row r="18" spans="1:14" ht="24.75" customHeight="1">
      <c r="A18" s="3">
        <v>16</v>
      </c>
      <c r="B18" s="4" t="s">
        <v>452</v>
      </c>
      <c r="C18" s="4" t="s">
        <v>483</v>
      </c>
      <c r="D18" s="4" t="s">
        <v>486</v>
      </c>
      <c r="E18" s="4"/>
      <c r="F18" s="4"/>
      <c r="G18" s="4"/>
      <c r="H18" s="4"/>
      <c r="I18" s="6">
        <v>4</v>
      </c>
      <c r="J18" s="6">
        <v>200</v>
      </c>
      <c r="K18" s="6">
        <v>7</v>
      </c>
      <c r="L18" s="4" t="s">
        <v>348</v>
      </c>
      <c r="M18" s="4" t="s">
        <v>177</v>
      </c>
      <c r="N18" s="3">
        <v>1290</v>
      </c>
    </row>
    <row r="19" spans="1:14" ht="24.75" customHeight="1">
      <c r="A19" s="3">
        <v>17</v>
      </c>
      <c r="B19" s="4" t="s">
        <v>452</v>
      </c>
      <c r="C19" s="4" t="s">
        <v>483</v>
      </c>
      <c r="D19" s="4" t="s">
        <v>487</v>
      </c>
      <c r="E19" s="4"/>
      <c r="F19" s="4"/>
      <c r="G19" s="4"/>
      <c r="H19" s="4"/>
      <c r="I19" s="6">
        <v>4</v>
      </c>
      <c r="J19" s="6">
        <v>200</v>
      </c>
      <c r="K19" s="6">
        <v>7</v>
      </c>
      <c r="L19" s="4" t="s">
        <v>488</v>
      </c>
      <c r="M19" s="4" t="s">
        <v>186</v>
      </c>
      <c r="N19" s="3">
        <v>995</v>
      </c>
    </row>
    <row r="20" spans="1:14" ht="24.75" customHeight="1">
      <c r="A20" s="3">
        <v>18</v>
      </c>
      <c r="B20" s="4" t="s">
        <v>452</v>
      </c>
      <c r="C20" s="4" t="s">
        <v>483</v>
      </c>
      <c r="D20" s="4" t="s">
        <v>489</v>
      </c>
      <c r="E20" s="4"/>
      <c r="F20" s="4"/>
      <c r="G20" s="4"/>
      <c r="H20" s="4"/>
      <c r="I20" s="6">
        <v>4</v>
      </c>
      <c r="J20" s="6">
        <v>200</v>
      </c>
      <c r="K20" s="6">
        <v>7</v>
      </c>
      <c r="L20" s="4" t="s">
        <v>490</v>
      </c>
      <c r="M20" s="4" t="s">
        <v>186</v>
      </c>
      <c r="N20" s="3">
        <v>995</v>
      </c>
    </row>
    <row r="21" spans="1:14" ht="24.75" customHeight="1">
      <c r="A21" s="3">
        <v>19</v>
      </c>
      <c r="B21" s="4" t="s">
        <v>452</v>
      </c>
      <c r="C21" s="4" t="s">
        <v>483</v>
      </c>
      <c r="D21" s="4" t="s">
        <v>491</v>
      </c>
      <c r="E21" s="4"/>
      <c r="F21" s="4"/>
      <c r="G21" s="4"/>
      <c r="H21" s="4"/>
      <c r="I21" s="6">
        <v>4</v>
      </c>
      <c r="J21" s="6">
        <v>200</v>
      </c>
      <c r="K21" s="6">
        <v>7</v>
      </c>
      <c r="L21" s="4" t="s">
        <v>492</v>
      </c>
      <c r="M21" s="4" t="s">
        <v>186</v>
      </c>
      <c r="N21" s="3">
        <v>995</v>
      </c>
    </row>
    <row r="22" spans="1:14" ht="24.75" customHeight="1">
      <c r="A22" s="3">
        <v>20</v>
      </c>
      <c r="B22" s="4" t="s">
        <v>452</v>
      </c>
      <c r="C22" s="4" t="s">
        <v>483</v>
      </c>
      <c r="D22" s="4" t="s">
        <v>493</v>
      </c>
      <c r="E22" s="4"/>
      <c r="F22" s="4"/>
      <c r="G22" s="4"/>
      <c r="H22" s="4"/>
      <c r="I22" s="6">
        <v>4</v>
      </c>
      <c r="J22" s="6">
        <v>200</v>
      </c>
      <c r="K22" s="6">
        <v>7</v>
      </c>
      <c r="L22" s="4" t="s">
        <v>494</v>
      </c>
      <c r="M22" s="4" t="s">
        <v>186</v>
      </c>
      <c r="N22" s="3">
        <v>995</v>
      </c>
    </row>
    <row r="23" spans="1:14" ht="24.75" customHeight="1">
      <c r="A23" s="3">
        <v>21</v>
      </c>
      <c r="B23" s="4" t="s">
        <v>452</v>
      </c>
      <c r="C23" s="4" t="s">
        <v>483</v>
      </c>
      <c r="D23" s="4" t="s">
        <v>495</v>
      </c>
      <c r="E23" s="4"/>
      <c r="F23" s="4"/>
      <c r="G23" s="4"/>
      <c r="H23" s="4"/>
      <c r="I23" s="6">
        <v>4</v>
      </c>
      <c r="J23" s="6">
        <v>200</v>
      </c>
      <c r="K23" s="6">
        <v>7</v>
      </c>
      <c r="L23" s="4" t="s">
        <v>496</v>
      </c>
      <c r="M23" s="4" t="s">
        <v>186</v>
      </c>
      <c r="N23" s="3">
        <v>995</v>
      </c>
    </row>
    <row r="24" spans="1:14" ht="24.75" customHeight="1">
      <c r="A24" s="3">
        <v>22</v>
      </c>
      <c r="B24" s="4" t="s">
        <v>452</v>
      </c>
      <c r="C24" s="4" t="s">
        <v>483</v>
      </c>
      <c r="D24" s="4" t="s">
        <v>497</v>
      </c>
      <c r="E24" s="4"/>
      <c r="F24" s="4"/>
      <c r="G24" s="4"/>
      <c r="H24" s="4"/>
      <c r="I24" s="6">
        <v>4</v>
      </c>
      <c r="J24" s="6">
        <v>200</v>
      </c>
      <c r="K24" s="6">
        <v>7</v>
      </c>
      <c r="L24" s="4" t="s">
        <v>498</v>
      </c>
      <c r="M24" s="4" t="s">
        <v>186</v>
      </c>
      <c r="N24" s="3">
        <v>995</v>
      </c>
    </row>
    <row r="25" spans="1:14" ht="24.75" customHeight="1">
      <c r="A25" s="3">
        <v>23</v>
      </c>
      <c r="B25" s="4" t="s">
        <v>452</v>
      </c>
      <c r="C25" s="4" t="s">
        <v>499</v>
      </c>
      <c r="D25" s="4" t="s">
        <v>500</v>
      </c>
      <c r="E25" s="4"/>
      <c r="F25" s="4"/>
      <c r="G25" s="4"/>
      <c r="H25" s="4"/>
      <c r="I25" s="6">
        <v>4</v>
      </c>
      <c r="J25" s="6">
        <v>200</v>
      </c>
      <c r="K25" s="6">
        <v>7</v>
      </c>
      <c r="L25" s="4" t="s">
        <v>501</v>
      </c>
      <c r="M25" s="4" t="s">
        <v>177</v>
      </c>
      <c r="N25" s="3">
        <v>1290</v>
      </c>
    </row>
    <row r="26" spans="1:14" ht="24.75" customHeight="1">
      <c r="A26" s="3">
        <v>24</v>
      </c>
      <c r="B26" s="4" t="s">
        <v>452</v>
      </c>
      <c r="C26" s="4" t="s">
        <v>499</v>
      </c>
      <c r="D26" s="4" t="s">
        <v>502</v>
      </c>
      <c r="E26" s="4"/>
      <c r="F26" s="4"/>
      <c r="G26" s="4"/>
      <c r="H26" s="4"/>
      <c r="I26" s="6">
        <v>4</v>
      </c>
      <c r="J26" s="6">
        <v>200</v>
      </c>
      <c r="K26" s="6">
        <v>7</v>
      </c>
      <c r="L26" s="4" t="s">
        <v>503</v>
      </c>
      <c r="M26" s="4" t="s">
        <v>177</v>
      </c>
      <c r="N26" s="3">
        <v>1290</v>
      </c>
    </row>
    <row r="27" spans="1:14" ht="24.75" customHeight="1">
      <c r="A27" s="3">
        <v>25</v>
      </c>
      <c r="B27" s="4" t="s">
        <v>452</v>
      </c>
      <c r="C27" s="4" t="s">
        <v>499</v>
      </c>
      <c r="D27" s="4" t="s">
        <v>504</v>
      </c>
      <c r="E27" s="4"/>
      <c r="F27" s="4"/>
      <c r="G27" s="4"/>
      <c r="H27" s="4"/>
      <c r="I27" s="6">
        <v>4</v>
      </c>
      <c r="J27" s="6">
        <v>200</v>
      </c>
      <c r="K27" s="6">
        <v>7</v>
      </c>
      <c r="L27" s="4" t="s">
        <v>505</v>
      </c>
      <c r="M27" s="4" t="s">
        <v>186</v>
      </c>
      <c r="N27" s="3">
        <v>995</v>
      </c>
    </row>
    <row r="28" spans="1:14" ht="24.75" customHeight="1">
      <c r="A28" s="3">
        <v>26</v>
      </c>
      <c r="B28" s="4" t="s">
        <v>452</v>
      </c>
      <c r="C28" s="4" t="s">
        <v>499</v>
      </c>
      <c r="D28" s="4" t="s">
        <v>506</v>
      </c>
      <c r="E28" s="4"/>
      <c r="F28" s="4"/>
      <c r="G28" s="4"/>
      <c r="H28" s="4"/>
      <c r="I28" s="6">
        <v>4</v>
      </c>
      <c r="J28" s="6">
        <v>200</v>
      </c>
      <c r="K28" s="6">
        <v>7</v>
      </c>
      <c r="L28" s="4" t="s">
        <v>507</v>
      </c>
      <c r="M28" s="4" t="s">
        <v>186</v>
      </c>
      <c r="N28" s="3">
        <v>995</v>
      </c>
    </row>
    <row r="29" spans="1:14" ht="24.75" customHeight="1">
      <c r="A29" s="3">
        <v>27</v>
      </c>
      <c r="B29" s="4" t="s">
        <v>452</v>
      </c>
      <c r="C29" s="4" t="s">
        <v>499</v>
      </c>
      <c r="D29" s="4" t="s">
        <v>508</v>
      </c>
      <c r="E29" s="4"/>
      <c r="F29" s="4"/>
      <c r="G29" s="4"/>
      <c r="H29" s="4"/>
      <c r="I29" s="6">
        <v>4</v>
      </c>
      <c r="J29" s="6">
        <v>200</v>
      </c>
      <c r="K29" s="6">
        <v>7</v>
      </c>
      <c r="L29" s="4" t="s">
        <v>509</v>
      </c>
      <c r="M29" s="4" t="s">
        <v>186</v>
      </c>
      <c r="N29" s="3">
        <v>995</v>
      </c>
    </row>
    <row r="30" spans="1:14" ht="24.75" customHeight="1">
      <c r="A30" s="3">
        <v>28</v>
      </c>
      <c r="B30" s="4" t="s">
        <v>452</v>
      </c>
      <c r="C30" s="4" t="s">
        <v>499</v>
      </c>
      <c r="D30" s="4" t="s">
        <v>510</v>
      </c>
      <c r="E30" s="4"/>
      <c r="F30" s="4"/>
      <c r="G30" s="4"/>
      <c r="H30" s="4"/>
      <c r="I30" s="6">
        <v>4</v>
      </c>
      <c r="J30" s="6">
        <v>200</v>
      </c>
      <c r="K30" s="6">
        <v>7</v>
      </c>
      <c r="L30" s="4" t="s">
        <v>511</v>
      </c>
      <c r="M30" s="4" t="s">
        <v>186</v>
      </c>
      <c r="N30" s="3">
        <v>995</v>
      </c>
    </row>
    <row r="31" spans="1:14" ht="24.75" customHeight="1">
      <c r="A31" s="3">
        <v>29</v>
      </c>
      <c r="B31" s="4" t="s">
        <v>452</v>
      </c>
      <c r="C31" s="4" t="s">
        <v>499</v>
      </c>
      <c r="D31" s="4" t="s">
        <v>512</v>
      </c>
      <c r="E31" s="4"/>
      <c r="F31" s="4"/>
      <c r="G31" s="4"/>
      <c r="H31" s="4"/>
      <c r="I31" s="6">
        <v>4</v>
      </c>
      <c r="J31" s="6">
        <v>200</v>
      </c>
      <c r="K31" s="6">
        <v>7</v>
      </c>
      <c r="L31" s="4" t="s">
        <v>513</v>
      </c>
      <c r="M31" s="4" t="s">
        <v>186</v>
      </c>
      <c r="N31" s="3">
        <v>995</v>
      </c>
    </row>
    <row r="32" spans="1:14" ht="24.75" customHeight="1">
      <c r="A32" s="3">
        <v>30</v>
      </c>
      <c r="B32" s="4" t="s">
        <v>452</v>
      </c>
      <c r="C32" s="4" t="s">
        <v>499</v>
      </c>
      <c r="D32" s="4" t="s">
        <v>514</v>
      </c>
      <c r="E32" s="4"/>
      <c r="F32" s="4"/>
      <c r="G32" s="4"/>
      <c r="H32" s="4"/>
      <c r="I32" s="6">
        <v>4</v>
      </c>
      <c r="J32" s="6">
        <v>200</v>
      </c>
      <c r="K32" s="6">
        <v>7</v>
      </c>
      <c r="L32" s="4" t="s">
        <v>515</v>
      </c>
      <c r="M32" s="4" t="s">
        <v>186</v>
      </c>
      <c r="N32" s="3">
        <v>995</v>
      </c>
    </row>
    <row r="33" spans="1:14" ht="24.75" customHeight="1">
      <c r="A33" s="3">
        <v>31</v>
      </c>
      <c r="B33" s="4" t="s">
        <v>452</v>
      </c>
      <c r="C33" s="4" t="s">
        <v>516</v>
      </c>
      <c r="D33" s="4" t="s">
        <v>517</v>
      </c>
      <c r="E33" s="4"/>
      <c r="F33" s="4"/>
      <c r="G33" s="4"/>
      <c r="H33" s="4"/>
      <c r="I33" s="6">
        <v>4</v>
      </c>
      <c r="J33" s="6">
        <v>200</v>
      </c>
      <c r="K33" s="6">
        <v>7</v>
      </c>
      <c r="L33" s="4" t="s">
        <v>518</v>
      </c>
      <c r="M33" s="4" t="s">
        <v>177</v>
      </c>
      <c r="N33" s="3">
        <v>1290</v>
      </c>
    </row>
    <row r="34" spans="1:14" ht="24.75" customHeight="1">
      <c r="A34" s="3">
        <v>32</v>
      </c>
      <c r="B34" s="4" t="s">
        <v>452</v>
      </c>
      <c r="C34" s="4" t="s">
        <v>516</v>
      </c>
      <c r="D34" s="4" t="s">
        <v>519</v>
      </c>
      <c r="E34" s="4"/>
      <c r="F34" s="4"/>
      <c r="G34" s="4"/>
      <c r="H34" s="4"/>
      <c r="I34" s="6">
        <v>4</v>
      </c>
      <c r="J34" s="6">
        <v>200</v>
      </c>
      <c r="K34" s="6">
        <v>7</v>
      </c>
      <c r="L34" s="4" t="s">
        <v>520</v>
      </c>
      <c r="M34" s="4" t="s">
        <v>177</v>
      </c>
      <c r="N34" s="3">
        <v>1290</v>
      </c>
    </row>
    <row r="35" spans="1:14" ht="24.75" customHeight="1">
      <c r="A35" s="3">
        <v>33</v>
      </c>
      <c r="B35" s="4" t="s">
        <v>452</v>
      </c>
      <c r="C35" s="4" t="s">
        <v>516</v>
      </c>
      <c r="D35" s="4" t="s">
        <v>521</v>
      </c>
      <c r="E35" s="4"/>
      <c r="F35" s="4"/>
      <c r="G35" s="4"/>
      <c r="H35" s="4"/>
      <c r="I35" s="6">
        <v>4</v>
      </c>
      <c r="J35" s="6">
        <v>200</v>
      </c>
      <c r="K35" s="6">
        <v>7</v>
      </c>
      <c r="L35" s="4" t="s">
        <v>522</v>
      </c>
      <c r="M35" s="4" t="s">
        <v>186</v>
      </c>
      <c r="N35" s="3">
        <v>995</v>
      </c>
    </row>
    <row r="36" spans="1:14" ht="24.75" customHeight="1">
      <c r="A36" s="3">
        <v>34</v>
      </c>
      <c r="B36" s="4" t="s">
        <v>452</v>
      </c>
      <c r="C36" s="4" t="s">
        <v>516</v>
      </c>
      <c r="D36" s="4" t="s">
        <v>523</v>
      </c>
      <c r="E36" s="4"/>
      <c r="F36" s="4"/>
      <c r="G36" s="4"/>
      <c r="H36" s="4"/>
      <c r="I36" s="6">
        <v>4</v>
      </c>
      <c r="J36" s="6">
        <v>200</v>
      </c>
      <c r="K36" s="6">
        <v>7</v>
      </c>
      <c r="L36" s="4" t="s">
        <v>524</v>
      </c>
      <c r="M36" s="4" t="s">
        <v>186</v>
      </c>
      <c r="N36" s="3">
        <v>995</v>
      </c>
    </row>
    <row r="37" spans="1:14" ht="24.75" customHeight="1">
      <c r="A37" s="3">
        <v>35</v>
      </c>
      <c r="B37" s="4" t="s">
        <v>452</v>
      </c>
      <c r="C37" s="4" t="s">
        <v>516</v>
      </c>
      <c r="D37" s="4" t="s">
        <v>525</v>
      </c>
      <c r="E37" s="4"/>
      <c r="F37" s="4"/>
      <c r="G37" s="4"/>
      <c r="H37" s="4"/>
      <c r="I37" s="6">
        <v>4</v>
      </c>
      <c r="J37" s="6">
        <v>200</v>
      </c>
      <c r="K37" s="6">
        <v>7</v>
      </c>
      <c r="L37" s="4" t="s">
        <v>526</v>
      </c>
      <c r="M37" s="4" t="s">
        <v>186</v>
      </c>
      <c r="N37" s="3">
        <v>995</v>
      </c>
    </row>
    <row r="38" spans="1:14" ht="24.75" customHeight="1">
      <c r="A38" s="3">
        <v>36</v>
      </c>
      <c r="B38" s="4" t="s">
        <v>452</v>
      </c>
      <c r="C38" s="4" t="s">
        <v>516</v>
      </c>
      <c r="D38" s="4" t="s">
        <v>527</v>
      </c>
      <c r="E38" s="4"/>
      <c r="F38" s="4"/>
      <c r="G38" s="4"/>
      <c r="H38" s="4"/>
      <c r="I38" s="6">
        <v>4</v>
      </c>
      <c r="J38" s="6">
        <v>200</v>
      </c>
      <c r="K38" s="6">
        <v>7</v>
      </c>
      <c r="L38" s="4" t="s">
        <v>528</v>
      </c>
      <c r="M38" s="4" t="s">
        <v>186</v>
      </c>
      <c r="N38" s="3">
        <v>995</v>
      </c>
    </row>
    <row r="39" spans="1:14" ht="24.75" customHeight="1">
      <c r="A39" s="3">
        <v>37</v>
      </c>
      <c r="B39" s="4" t="s">
        <v>452</v>
      </c>
      <c r="C39" s="4" t="s">
        <v>516</v>
      </c>
      <c r="D39" s="4" t="s">
        <v>529</v>
      </c>
      <c r="E39" s="4"/>
      <c r="F39" s="4"/>
      <c r="G39" s="4"/>
      <c r="H39" s="4"/>
      <c r="I39" s="6">
        <v>4</v>
      </c>
      <c r="J39" s="6">
        <v>200</v>
      </c>
      <c r="K39" s="6">
        <v>7</v>
      </c>
      <c r="L39" s="4" t="s">
        <v>530</v>
      </c>
      <c r="M39" s="4" t="s">
        <v>186</v>
      </c>
      <c r="N39" s="3">
        <v>995</v>
      </c>
    </row>
    <row r="40" spans="1:14" ht="24.75" customHeight="1">
      <c r="A40" s="3">
        <v>38</v>
      </c>
      <c r="B40" s="4" t="s">
        <v>452</v>
      </c>
      <c r="C40" s="4" t="s">
        <v>516</v>
      </c>
      <c r="D40" s="4" t="s">
        <v>531</v>
      </c>
      <c r="E40" s="4"/>
      <c r="F40" s="4"/>
      <c r="G40" s="4"/>
      <c r="H40" s="4"/>
      <c r="I40" s="6">
        <v>4</v>
      </c>
      <c r="J40" s="6">
        <v>200</v>
      </c>
      <c r="K40" s="6">
        <v>7</v>
      </c>
      <c r="L40" s="4" t="s">
        <v>532</v>
      </c>
      <c r="M40" s="4" t="s">
        <v>186</v>
      </c>
      <c r="N40" s="3">
        <v>995</v>
      </c>
    </row>
    <row r="41" spans="1:14" ht="24.75" customHeight="1">
      <c r="A41" s="3">
        <v>39</v>
      </c>
      <c r="B41" s="4" t="s">
        <v>452</v>
      </c>
      <c r="C41" s="4" t="s">
        <v>533</v>
      </c>
      <c r="D41" s="4" t="s">
        <v>534</v>
      </c>
      <c r="E41" s="4"/>
      <c r="F41" s="4"/>
      <c r="G41" s="4"/>
      <c r="H41" s="4"/>
      <c r="I41" s="6">
        <v>4</v>
      </c>
      <c r="J41" s="6">
        <v>200</v>
      </c>
      <c r="K41" s="6">
        <v>7</v>
      </c>
      <c r="L41" s="4" t="s">
        <v>535</v>
      </c>
      <c r="M41" s="4" t="s">
        <v>177</v>
      </c>
      <c r="N41" s="3">
        <v>1290</v>
      </c>
    </row>
    <row r="42" spans="1:14" ht="24.75" customHeight="1">
      <c r="A42" s="3">
        <v>40</v>
      </c>
      <c r="B42" s="4" t="s">
        <v>452</v>
      </c>
      <c r="C42" s="4" t="s">
        <v>533</v>
      </c>
      <c r="D42" s="4" t="s">
        <v>536</v>
      </c>
      <c r="E42" s="4"/>
      <c r="F42" s="4"/>
      <c r="G42" s="4"/>
      <c r="H42" s="4"/>
      <c r="I42" s="6">
        <v>4</v>
      </c>
      <c r="J42" s="6">
        <v>200</v>
      </c>
      <c r="K42" s="6">
        <v>7</v>
      </c>
      <c r="L42" s="4" t="s">
        <v>537</v>
      </c>
      <c r="M42" s="4" t="s">
        <v>177</v>
      </c>
      <c r="N42" s="3">
        <v>1290</v>
      </c>
    </row>
    <row r="43" spans="1:14" ht="24.75" customHeight="1">
      <c r="A43" s="3">
        <v>41</v>
      </c>
      <c r="B43" s="4" t="s">
        <v>452</v>
      </c>
      <c r="C43" s="4" t="s">
        <v>533</v>
      </c>
      <c r="D43" s="4" t="s">
        <v>538</v>
      </c>
      <c r="E43" s="4"/>
      <c r="F43" s="4"/>
      <c r="G43" s="4"/>
      <c r="H43" s="4"/>
      <c r="I43" s="6">
        <v>4</v>
      </c>
      <c r="J43" s="6">
        <v>200</v>
      </c>
      <c r="K43" s="6">
        <v>7</v>
      </c>
      <c r="L43" s="4" t="s">
        <v>539</v>
      </c>
      <c r="M43" s="4" t="s">
        <v>186</v>
      </c>
      <c r="N43" s="3">
        <v>995</v>
      </c>
    </row>
    <row r="44" spans="1:14" ht="24.75" customHeight="1">
      <c r="A44" s="3">
        <v>42</v>
      </c>
      <c r="B44" s="4" t="s">
        <v>452</v>
      </c>
      <c r="C44" s="4" t="s">
        <v>533</v>
      </c>
      <c r="D44" s="4" t="s">
        <v>540</v>
      </c>
      <c r="E44" s="4"/>
      <c r="F44" s="4"/>
      <c r="G44" s="4"/>
      <c r="H44" s="4"/>
      <c r="I44" s="6">
        <v>4</v>
      </c>
      <c r="J44" s="6">
        <v>200</v>
      </c>
      <c r="K44" s="6">
        <v>7</v>
      </c>
      <c r="L44" s="4" t="s">
        <v>541</v>
      </c>
      <c r="M44" s="4" t="s">
        <v>186</v>
      </c>
      <c r="N44" s="3">
        <v>995</v>
      </c>
    </row>
    <row r="45" spans="1:14" ht="24.75" customHeight="1">
      <c r="A45" s="3">
        <v>43</v>
      </c>
      <c r="B45" s="4" t="s">
        <v>452</v>
      </c>
      <c r="C45" s="4" t="s">
        <v>533</v>
      </c>
      <c r="D45" s="4" t="s">
        <v>543</v>
      </c>
      <c r="E45" s="4"/>
      <c r="F45" s="4"/>
      <c r="G45" s="4"/>
      <c r="H45" s="4"/>
      <c r="I45" s="6">
        <v>4</v>
      </c>
      <c r="J45" s="6">
        <v>200</v>
      </c>
      <c r="K45" s="6">
        <v>7</v>
      </c>
      <c r="L45" s="4" t="s">
        <v>544</v>
      </c>
      <c r="M45" s="4" t="s">
        <v>186</v>
      </c>
      <c r="N45" s="3">
        <v>995</v>
      </c>
    </row>
    <row r="46" spans="1:14" ht="24.75" customHeight="1">
      <c r="A46" s="3">
        <v>44</v>
      </c>
      <c r="B46" s="4" t="s">
        <v>452</v>
      </c>
      <c r="C46" s="4" t="s">
        <v>533</v>
      </c>
      <c r="D46" s="4" t="s">
        <v>545</v>
      </c>
      <c r="E46" s="4"/>
      <c r="F46" s="4"/>
      <c r="G46" s="4"/>
      <c r="H46" s="4"/>
      <c r="I46" s="6">
        <v>4</v>
      </c>
      <c r="J46" s="6">
        <v>200</v>
      </c>
      <c r="K46" s="6">
        <v>7</v>
      </c>
      <c r="L46" s="4" t="s">
        <v>546</v>
      </c>
      <c r="M46" s="4" t="s">
        <v>186</v>
      </c>
      <c r="N46" s="3">
        <v>995</v>
      </c>
    </row>
    <row r="47" spans="1:14" ht="24.75" customHeight="1">
      <c r="A47" s="3">
        <v>45</v>
      </c>
      <c r="B47" s="4" t="s">
        <v>452</v>
      </c>
      <c r="C47" s="4" t="s">
        <v>533</v>
      </c>
      <c r="D47" s="4" t="s">
        <v>547</v>
      </c>
      <c r="E47" s="4"/>
      <c r="F47" s="4"/>
      <c r="G47" s="4"/>
      <c r="H47" s="4"/>
      <c r="I47" s="6">
        <v>4</v>
      </c>
      <c r="J47" s="6">
        <v>200</v>
      </c>
      <c r="K47" s="6">
        <v>7</v>
      </c>
      <c r="L47" s="4" t="s">
        <v>548</v>
      </c>
      <c r="M47" s="4" t="s">
        <v>186</v>
      </c>
      <c r="N47" s="3">
        <v>995</v>
      </c>
    </row>
    <row r="48" spans="1:14" ht="24.75" customHeight="1">
      <c r="A48" s="3">
        <v>46</v>
      </c>
      <c r="B48" s="4" t="s">
        <v>452</v>
      </c>
      <c r="C48" s="4" t="s">
        <v>549</v>
      </c>
      <c r="D48" s="4" t="s">
        <v>550</v>
      </c>
      <c r="E48" s="4"/>
      <c r="F48" s="4"/>
      <c r="G48" s="4"/>
      <c r="H48" s="4"/>
      <c r="I48" s="6">
        <v>4</v>
      </c>
      <c r="J48" s="6">
        <v>200</v>
      </c>
      <c r="K48" s="6">
        <v>7</v>
      </c>
      <c r="L48" s="4" t="s">
        <v>551</v>
      </c>
      <c r="M48" s="4" t="s">
        <v>177</v>
      </c>
      <c r="N48" s="3">
        <v>1290</v>
      </c>
    </row>
    <row r="49" spans="1:14" ht="24.75" customHeight="1">
      <c r="A49" s="3">
        <v>47</v>
      </c>
      <c r="B49" s="4" t="s">
        <v>452</v>
      </c>
      <c r="C49" s="4" t="s">
        <v>549</v>
      </c>
      <c r="D49" s="4" t="s">
        <v>552</v>
      </c>
      <c r="E49" s="4"/>
      <c r="F49" s="4"/>
      <c r="G49" s="4"/>
      <c r="H49" s="4"/>
      <c r="I49" s="6">
        <v>4</v>
      </c>
      <c r="J49" s="6">
        <v>200</v>
      </c>
      <c r="K49" s="6">
        <v>7</v>
      </c>
      <c r="L49" s="4" t="s">
        <v>553</v>
      </c>
      <c r="M49" s="4" t="s">
        <v>177</v>
      </c>
      <c r="N49" s="3">
        <v>1290</v>
      </c>
    </row>
    <row r="50" spans="1:14" ht="24.75" customHeight="1">
      <c r="A50" s="3">
        <v>48</v>
      </c>
      <c r="B50" s="4" t="s">
        <v>452</v>
      </c>
      <c r="C50" s="4" t="s">
        <v>549</v>
      </c>
      <c r="D50" s="4" t="s">
        <v>554</v>
      </c>
      <c r="E50" s="4"/>
      <c r="F50" s="4"/>
      <c r="G50" s="4"/>
      <c r="H50" s="4"/>
      <c r="I50" s="6">
        <v>4</v>
      </c>
      <c r="J50" s="6">
        <v>200</v>
      </c>
      <c r="K50" s="6">
        <v>7</v>
      </c>
      <c r="L50" s="4" t="s">
        <v>555</v>
      </c>
      <c r="M50" s="4" t="s">
        <v>186</v>
      </c>
      <c r="N50" s="3">
        <v>995</v>
      </c>
    </row>
    <row r="51" spans="1:14" ht="24.75" customHeight="1">
      <c r="A51" s="3">
        <v>49</v>
      </c>
      <c r="B51" s="4" t="s">
        <v>452</v>
      </c>
      <c r="C51" s="4" t="s">
        <v>549</v>
      </c>
      <c r="D51" s="4" t="s">
        <v>557</v>
      </c>
      <c r="E51" s="4"/>
      <c r="F51" s="4"/>
      <c r="G51" s="4"/>
      <c r="H51" s="4"/>
      <c r="I51" s="6">
        <v>4</v>
      </c>
      <c r="J51" s="6">
        <v>200</v>
      </c>
      <c r="K51" s="6">
        <v>7</v>
      </c>
      <c r="L51" s="4" t="s">
        <v>794</v>
      </c>
      <c r="M51" s="4" t="s">
        <v>186</v>
      </c>
      <c r="N51" s="3">
        <v>995</v>
      </c>
    </row>
    <row r="52" spans="1:14" ht="24.75" customHeight="1">
      <c r="A52" s="3">
        <v>50</v>
      </c>
      <c r="B52" s="4" t="s">
        <v>452</v>
      </c>
      <c r="C52" s="4" t="s">
        <v>549</v>
      </c>
      <c r="D52" s="4" t="s">
        <v>558</v>
      </c>
      <c r="E52" s="4"/>
      <c r="F52" s="4"/>
      <c r="G52" s="4"/>
      <c r="H52" s="4"/>
      <c r="I52" s="6">
        <v>4</v>
      </c>
      <c r="J52" s="6">
        <v>200</v>
      </c>
      <c r="K52" s="6">
        <v>7</v>
      </c>
      <c r="L52" s="4" t="s">
        <v>957</v>
      </c>
      <c r="M52" s="4" t="s">
        <v>186</v>
      </c>
      <c r="N52" s="3">
        <v>995</v>
      </c>
    </row>
    <row r="53" spans="1:14" ht="24.75" customHeight="1">
      <c r="A53" s="3">
        <v>51</v>
      </c>
      <c r="B53" s="4" t="s">
        <v>452</v>
      </c>
      <c r="C53" s="4" t="s">
        <v>549</v>
      </c>
      <c r="D53" s="4" t="s">
        <v>559</v>
      </c>
      <c r="E53" s="4"/>
      <c r="F53" s="4"/>
      <c r="G53" s="4"/>
      <c r="H53" s="4"/>
      <c r="I53" s="6">
        <v>4</v>
      </c>
      <c r="J53" s="6">
        <v>200</v>
      </c>
      <c r="K53" s="6">
        <v>7</v>
      </c>
      <c r="L53" s="4" t="s">
        <v>560</v>
      </c>
      <c r="M53" s="4" t="s">
        <v>186</v>
      </c>
      <c r="N53" s="3">
        <v>995</v>
      </c>
    </row>
    <row r="54" spans="1:14" ht="24.75" customHeight="1">
      <c r="A54" s="3">
        <v>52</v>
      </c>
      <c r="B54" s="4" t="s">
        <v>452</v>
      </c>
      <c r="C54" s="4" t="s">
        <v>549</v>
      </c>
      <c r="D54" s="4" t="s">
        <v>561</v>
      </c>
      <c r="E54" s="4"/>
      <c r="F54" s="4"/>
      <c r="G54" s="4"/>
      <c r="H54" s="4"/>
      <c r="I54" s="6">
        <v>4</v>
      </c>
      <c r="J54" s="6">
        <v>200</v>
      </c>
      <c r="K54" s="6">
        <v>7</v>
      </c>
      <c r="L54" s="4" t="s">
        <v>562</v>
      </c>
      <c r="M54" s="4" t="s">
        <v>186</v>
      </c>
      <c r="N54" s="3">
        <v>995</v>
      </c>
    </row>
    <row r="55" spans="1:14" ht="24.75" customHeight="1">
      <c r="A55" s="3">
        <v>53</v>
      </c>
      <c r="B55" s="4" t="s">
        <v>452</v>
      </c>
      <c r="C55" s="4" t="s">
        <v>563</v>
      </c>
      <c r="D55" s="4" t="s">
        <v>564</v>
      </c>
      <c r="E55" s="4"/>
      <c r="F55" s="4"/>
      <c r="G55" s="4"/>
      <c r="H55" s="4"/>
      <c r="I55" s="6">
        <v>4</v>
      </c>
      <c r="J55" s="6">
        <v>200</v>
      </c>
      <c r="K55" s="6">
        <v>7</v>
      </c>
      <c r="L55" s="4" t="s">
        <v>565</v>
      </c>
      <c r="M55" s="4" t="s">
        <v>177</v>
      </c>
      <c r="N55" s="3">
        <v>1290</v>
      </c>
    </row>
    <row r="56" spans="1:14" ht="24.75" customHeight="1">
      <c r="A56" s="3">
        <v>54</v>
      </c>
      <c r="B56" s="4" t="s">
        <v>452</v>
      </c>
      <c r="C56" s="4" t="s">
        <v>563</v>
      </c>
      <c r="D56" s="4" t="s">
        <v>566</v>
      </c>
      <c r="E56" s="4"/>
      <c r="F56" s="4"/>
      <c r="G56" s="4"/>
      <c r="H56" s="4"/>
      <c r="I56" s="6">
        <v>4</v>
      </c>
      <c r="J56" s="6">
        <v>200</v>
      </c>
      <c r="K56" s="6">
        <v>7</v>
      </c>
      <c r="L56" s="4" t="s">
        <v>958</v>
      </c>
      <c r="M56" s="4" t="s">
        <v>177</v>
      </c>
      <c r="N56" s="3">
        <v>1290</v>
      </c>
    </row>
    <row r="57" spans="1:14" ht="24.75" customHeight="1">
      <c r="A57" s="3">
        <v>55</v>
      </c>
      <c r="B57" s="4" t="s">
        <v>452</v>
      </c>
      <c r="C57" s="4" t="s">
        <v>563</v>
      </c>
      <c r="D57" s="4" t="s">
        <v>567</v>
      </c>
      <c r="E57" s="4"/>
      <c r="F57" s="4"/>
      <c r="G57" s="4"/>
      <c r="H57" s="4"/>
      <c r="I57" s="6">
        <v>4</v>
      </c>
      <c r="J57" s="6">
        <v>200</v>
      </c>
      <c r="K57" s="6">
        <v>7</v>
      </c>
      <c r="L57" s="4" t="s">
        <v>568</v>
      </c>
      <c r="M57" s="4" t="s">
        <v>186</v>
      </c>
      <c r="N57" s="3">
        <v>995</v>
      </c>
    </row>
    <row r="58" spans="1:14" ht="24.75" customHeight="1">
      <c r="A58" s="3">
        <v>56</v>
      </c>
      <c r="B58" s="4" t="s">
        <v>452</v>
      </c>
      <c r="C58" s="4" t="s">
        <v>563</v>
      </c>
      <c r="D58" s="4" t="s">
        <v>569</v>
      </c>
      <c r="E58" s="4"/>
      <c r="F58" s="4"/>
      <c r="G58" s="4"/>
      <c r="H58" s="4"/>
      <c r="I58" s="6">
        <v>4</v>
      </c>
      <c r="J58" s="6">
        <v>200</v>
      </c>
      <c r="K58" s="6">
        <v>7</v>
      </c>
      <c r="L58" s="4" t="s">
        <v>570</v>
      </c>
      <c r="M58" s="4" t="s">
        <v>186</v>
      </c>
      <c r="N58" s="3">
        <v>995</v>
      </c>
    </row>
    <row r="59" spans="1:14" ht="24.75" customHeight="1">
      <c r="A59" s="3">
        <v>57</v>
      </c>
      <c r="B59" s="4" t="s">
        <v>452</v>
      </c>
      <c r="C59" s="4" t="s">
        <v>563</v>
      </c>
      <c r="D59" s="4" t="s">
        <v>571</v>
      </c>
      <c r="E59" s="4"/>
      <c r="F59" s="4"/>
      <c r="G59" s="4"/>
      <c r="H59" s="4"/>
      <c r="I59" s="6">
        <v>4</v>
      </c>
      <c r="J59" s="6">
        <v>200</v>
      </c>
      <c r="K59" s="6">
        <v>7</v>
      </c>
      <c r="L59" s="4" t="s">
        <v>572</v>
      </c>
      <c r="M59" s="4" t="s">
        <v>186</v>
      </c>
      <c r="N59" s="3">
        <v>995</v>
      </c>
    </row>
    <row r="60" spans="1:14" ht="24.75" customHeight="1">
      <c r="A60" s="3">
        <v>58</v>
      </c>
      <c r="B60" s="4" t="s">
        <v>452</v>
      </c>
      <c r="C60" s="4" t="s">
        <v>563</v>
      </c>
      <c r="D60" s="4" t="s">
        <v>573</v>
      </c>
      <c r="E60" s="4"/>
      <c r="F60" s="4"/>
      <c r="G60" s="4"/>
      <c r="H60" s="4"/>
      <c r="I60" s="6">
        <v>4</v>
      </c>
      <c r="J60" s="6">
        <v>200</v>
      </c>
      <c r="K60" s="6">
        <v>7</v>
      </c>
      <c r="L60" s="4" t="s">
        <v>574</v>
      </c>
      <c r="M60" s="4" t="s">
        <v>186</v>
      </c>
      <c r="N60" s="3">
        <v>995</v>
      </c>
    </row>
    <row r="61" spans="1:14" ht="24.75" customHeight="1">
      <c r="A61" s="3">
        <v>59</v>
      </c>
      <c r="B61" s="4" t="s">
        <v>452</v>
      </c>
      <c r="C61" s="4" t="s">
        <v>563</v>
      </c>
      <c r="D61" s="4" t="s">
        <v>575</v>
      </c>
      <c r="E61" s="4"/>
      <c r="F61" s="4"/>
      <c r="G61" s="4"/>
      <c r="H61" s="4"/>
      <c r="I61" s="6">
        <v>4</v>
      </c>
      <c r="J61" s="6">
        <v>200</v>
      </c>
      <c r="K61" s="6">
        <v>7</v>
      </c>
      <c r="L61" s="4" t="s">
        <v>576</v>
      </c>
      <c r="M61" s="4" t="s">
        <v>186</v>
      </c>
      <c r="N61" s="3">
        <v>995</v>
      </c>
    </row>
    <row r="62" spans="1:14" ht="24.75" customHeight="1">
      <c r="A62" s="3">
        <v>60</v>
      </c>
      <c r="B62" s="4" t="s">
        <v>452</v>
      </c>
      <c r="C62" s="4" t="s">
        <v>563</v>
      </c>
      <c r="D62" s="4" t="s">
        <v>577</v>
      </c>
      <c r="E62" s="4"/>
      <c r="F62" s="4"/>
      <c r="G62" s="4"/>
      <c r="H62" s="4"/>
      <c r="I62" s="6">
        <v>4</v>
      </c>
      <c r="J62" s="6">
        <v>200</v>
      </c>
      <c r="K62" s="6">
        <v>7</v>
      </c>
      <c r="L62" s="4" t="s">
        <v>578</v>
      </c>
      <c r="M62" s="4" t="s">
        <v>186</v>
      </c>
      <c r="N62" s="3">
        <v>995</v>
      </c>
    </row>
    <row r="63" spans="1:14" ht="24.75" customHeight="1">
      <c r="A63" s="3">
        <v>61</v>
      </c>
      <c r="B63" s="4" t="s">
        <v>452</v>
      </c>
      <c r="C63" s="4" t="s">
        <v>579</v>
      </c>
      <c r="D63" s="4" t="s">
        <v>580</v>
      </c>
      <c r="E63" s="4"/>
      <c r="F63" s="4"/>
      <c r="G63" s="4"/>
      <c r="H63" s="4"/>
      <c r="I63" s="6">
        <v>4</v>
      </c>
      <c r="J63" s="6">
        <v>200</v>
      </c>
      <c r="K63" s="6">
        <v>7</v>
      </c>
      <c r="L63" s="4" t="s">
        <v>581</v>
      </c>
      <c r="M63" s="4" t="s">
        <v>177</v>
      </c>
      <c r="N63" s="3">
        <v>1290</v>
      </c>
    </row>
    <row r="64" spans="1:14" ht="24.75" customHeight="1">
      <c r="A64" s="3">
        <v>62</v>
      </c>
      <c r="B64" s="4" t="s">
        <v>452</v>
      </c>
      <c r="C64" s="4" t="s">
        <v>579</v>
      </c>
      <c r="D64" s="4" t="s">
        <v>582</v>
      </c>
      <c r="E64" s="4"/>
      <c r="F64" s="4"/>
      <c r="G64" s="4"/>
      <c r="H64" s="4"/>
      <c r="I64" s="6">
        <v>4</v>
      </c>
      <c r="J64" s="6">
        <v>200</v>
      </c>
      <c r="K64" s="6">
        <v>7</v>
      </c>
      <c r="L64" s="4" t="s">
        <v>583</v>
      </c>
      <c r="M64" s="4" t="s">
        <v>177</v>
      </c>
      <c r="N64" s="3">
        <v>1290</v>
      </c>
    </row>
    <row r="65" spans="1:14" ht="24.75" customHeight="1">
      <c r="A65" s="3">
        <v>63</v>
      </c>
      <c r="B65" s="4" t="s">
        <v>452</v>
      </c>
      <c r="C65" s="4" t="s">
        <v>579</v>
      </c>
      <c r="D65" s="4" t="s">
        <v>584</v>
      </c>
      <c r="E65" s="4"/>
      <c r="F65" s="4"/>
      <c r="G65" s="4"/>
      <c r="H65" s="4"/>
      <c r="I65" s="6">
        <v>4</v>
      </c>
      <c r="J65" s="6">
        <v>200</v>
      </c>
      <c r="K65" s="6">
        <v>7</v>
      </c>
      <c r="L65" s="4" t="s">
        <v>585</v>
      </c>
      <c r="M65" s="4" t="s">
        <v>186</v>
      </c>
      <c r="N65" s="3">
        <v>995</v>
      </c>
    </row>
    <row r="66" spans="1:14" ht="24.75" customHeight="1">
      <c r="A66" s="3">
        <v>64</v>
      </c>
      <c r="B66" s="4" t="s">
        <v>452</v>
      </c>
      <c r="C66" s="4" t="s">
        <v>579</v>
      </c>
      <c r="D66" s="4" t="s">
        <v>586</v>
      </c>
      <c r="E66" s="4"/>
      <c r="F66" s="4"/>
      <c r="G66" s="4"/>
      <c r="H66" s="4"/>
      <c r="I66" s="6">
        <v>4</v>
      </c>
      <c r="J66" s="6">
        <v>200</v>
      </c>
      <c r="K66" s="6">
        <v>7</v>
      </c>
      <c r="L66" s="4" t="s">
        <v>587</v>
      </c>
      <c r="M66" s="4" t="s">
        <v>186</v>
      </c>
      <c r="N66" s="3">
        <v>995</v>
      </c>
    </row>
    <row r="67" spans="1:14" ht="24.75" customHeight="1">
      <c r="A67" s="3">
        <v>65</v>
      </c>
      <c r="B67" s="4" t="s">
        <v>452</v>
      </c>
      <c r="C67" s="4" t="s">
        <v>579</v>
      </c>
      <c r="D67" s="4" t="s">
        <v>588</v>
      </c>
      <c r="E67" s="4"/>
      <c r="F67" s="4"/>
      <c r="G67" s="4"/>
      <c r="H67" s="4"/>
      <c r="I67" s="6">
        <v>4</v>
      </c>
      <c r="J67" s="6">
        <v>200</v>
      </c>
      <c r="K67" s="6">
        <v>7</v>
      </c>
      <c r="L67" s="4" t="s">
        <v>396</v>
      </c>
      <c r="M67" s="4" t="s">
        <v>186</v>
      </c>
      <c r="N67" s="3">
        <v>995</v>
      </c>
    </row>
    <row r="68" spans="1:14" ht="24.75" customHeight="1">
      <c r="A68" s="3">
        <v>66</v>
      </c>
      <c r="B68" s="4" t="s">
        <v>452</v>
      </c>
      <c r="C68" s="4" t="s">
        <v>579</v>
      </c>
      <c r="D68" s="4" t="s">
        <v>589</v>
      </c>
      <c r="E68" s="4"/>
      <c r="F68" s="4"/>
      <c r="G68" s="4"/>
      <c r="H68" s="4"/>
      <c r="I68" s="6">
        <v>4</v>
      </c>
      <c r="J68" s="6">
        <v>200</v>
      </c>
      <c r="K68" s="6">
        <v>7</v>
      </c>
      <c r="L68" s="4" t="s">
        <v>590</v>
      </c>
      <c r="M68" s="4" t="s">
        <v>186</v>
      </c>
      <c r="N68" s="3">
        <v>995</v>
      </c>
    </row>
    <row r="69" spans="1:14" ht="24.75" customHeight="1">
      <c r="A69" s="3">
        <v>67</v>
      </c>
      <c r="B69" s="4" t="s">
        <v>452</v>
      </c>
      <c r="C69" s="4" t="s">
        <v>579</v>
      </c>
      <c r="D69" s="4" t="s">
        <v>591</v>
      </c>
      <c r="E69" s="4"/>
      <c r="F69" s="4"/>
      <c r="G69" s="4"/>
      <c r="H69" s="4"/>
      <c r="I69" s="6">
        <v>4</v>
      </c>
      <c r="J69" s="6">
        <v>200</v>
      </c>
      <c r="K69" s="6">
        <v>7</v>
      </c>
      <c r="L69" s="4" t="s">
        <v>592</v>
      </c>
      <c r="M69" s="4" t="s">
        <v>186</v>
      </c>
      <c r="N69" s="3">
        <v>995</v>
      </c>
    </row>
    <row r="70" spans="1:14" ht="24.75" customHeight="1">
      <c r="A70" s="3">
        <v>68</v>
      </c>
      <c r="B70" s="4" t="s">
        <v>452</v>
      </c>
      <c r="C70" s="4" t="s">
        <v>579</v>
      </c>
      <c r="D70" s="4" t="s">
        <v>593</v>
      </c>
      <c r="E70" s="4"/>
      <c r="F70" s="4"/>
      <c r="G70" s="4"/>
      <c r="H70" s="4"/>
      <c r="I70" s="6">
        <v>4</v>
      </c>
      <c r="J70" s="6">
        <v>200</v>
      </c>
      <c r="K70" s="6">
        <v>7</v>
      </c>
      <c r="L70" s="4" t="s">
        <v>594</v>
      </c>
      <c r="M70" s="4" t="s">
        <v>186</v>
      </c>
      <c r="N70" s="3">
        <v>995</v>
      </c>
    </row>
    <row r="71" spans="1:14" ht="24.75" customHeight="1">
      <c r="A71" s="3">
        <v>69</v>
      </c>
      <c r="B71" s="4" t="s">
        <v>452</v>
      </c>
      <c r="C71" s="4" t="s">
        <v>595</v>
      </c>
      <c r="D71" s="4" t="s">
        <v>596</v>
      </c>
      <c r="E71" s="4"/>
      <c r="F71" s="4"/>
      <c r="G71" s="4"/>
      <c r="H71" s="4"/>
      <c r="I71" s="6">
        <v>4</v>
      </c>
      <c r="J71" s="6">
        <v>200</v>
      </c>
      <c r="K71" s="6">
        <v>7</v>
      </c>
      <c r="L71" s="4" t="s">
        <v>597</v>
      </c>
      <c r="M71" s="4" t="s">
        <v>177</v>
      </c>
      <c r="N71" s="3">
        <v>1290</v>
      </c>
    </row>
    <row r="72" spans="1:14" ht="24.75" customHeight="1">
      <c r="A72" s="3">
        <v>70</v>
      </c>
      <c r="B72" s="4" t="s">
        <v>452</v>
      </c>
      <c r="C72" s="4" t="s">
        <v>595</v>
      </c>
      <c r="D72" s="4" t="s">
        <v>598</v>
      </c>
      <c r="E72" s="4"/>
      <c r="F72" s="4"/>
      <c r="G72" s="4"/>
      <c r="H72" s="4"/>
      <c r="I72" s="6">
        <v>4</v>
      </c>
      <c r="J72" s="6">
        <v>200</v>
      </c>
      <c r="K72" s="6">
        <v>7</v>
      </c>
      <c r="L72" s="4" t="s">
        <v>599</v>
      </c>
      <c r="M72" s="4" t="s">
        <v>177</v>
      </c>
      <c r="N72" s="3">
        <v>1290</v>
      </c>
    </row>
    <row r="73" spans="1:14" ht="24.75" customHeight="1">
      <c r="A73" s="3">
        <v>71</v>
      </c>
      <c r="B73" s="4" t="s">
        <v>452</v>
      </c>
      <c r="C73" s="4" t="s">
        <v>595</v>
      </c>
      <c r="D73" s="4" t="s">
        <v>600</v>
      </c>
      <c r="E73" s="4"/>
      <c r="F73" s="4"/>
      <c r="G73" s="4"/>
      <c r="H73" s="4"/>
      <c r="I73" s="6">
        <v>4</v>
      </c>
      <c r="J73" s="6">
        <v>200</v>
      </c>
      <c r="K73" s="6">
        <v>7</v>
      </c>
      <c r="L73" s="4" t="s">
        <v>601</v>
      </c>
      <c r="M73" s="4" t="s">
        <v>186</v>
      </c>
      <c r="N73" s="3">
        <v>995</v>
      </c>
    </row>
    <row r="74" spans="1:14" ht="24.75" customHeight="1">
      <c r="A74" s="3">
        <v>72</v>
      </c>
      <c r="B74" s="4" t="s">
        <v>452</v>
      </c>
      <c r="C74" s="4" t="s">
        <v>595</v>
      </c>
      <c r="D74" s="4" t="s">
        <v>602</v>
      </c>
      <c r="E74" s="4"/>
      <c r="F74" s="4"/>
      <c r="G74" s="4"/>
      <c r="H74" s="4"/>
      <c r="I74" s="6">
        <v>4</v>
      </c>
      <c r="J74" s="6">
        <v>200</v>
      </c>
      <c r="K74" s="6">
        <v>7</v>
      </c>
      <c r="L74" s="4" t="s">
        <v>603</v>
      </c>
      <c r="M74" s="4" t="s">
        <v>186</v>
      </c>
      <c r="N74" s="3">
        <v>995</v>
      </c>
    </row>
    <row r="75" spans="1:14" ht="24.75" customHeight="1">
      <c r="A75" s="3">
        <v>73</v>
      </c>
      <c r="B75" s="4" t="s">
        <v>452</v>
      </c>
      <c r="C75" s="4" t="s">
        <v>595</v>
      </c>
      <c r="D75" s="4" t="s">
        <v>604</v>
      </c>
      <c r="E75" s="4"/>
      <c r="F75" s="4"/>
      <c r="G75" s="4"/>
      <c r="H75" s="4"/>
      <c r="I75" s="6">
        <v>4</v>
      </c>
      <c r="J75" s="6">
        <v>200</v>
      </c>
      <c r="K75" s="6">
        <v>7</v>
      </c>
      <c r="L75" s="4" t="s">
        <v>959</v>
      </c>
      <c r="M75" s="4" t="s">
        <v>186</v>
      </c>
      <c r="N75" s="3">
        <v>995</v>
      </c>
    </row>
    <row r="76" spans="1:14" ht="24.75" customHeight="1">
      <c r="A76" s="3">
        <v>74</v>
      </c>
      <c r="B76" s="4" t="s">
        <v>452</v>
      </c>
      <c r="C76" s="4" t="s">
        <v>595</v>
      </c>
      <c r="D76" s="4" t="s">
        <v>605</v>
      </c>
      <c r="E76" s="4"/>
      <c r="F76" s="4"/>
      <c r="G76" s="4"/>
      <c r="H76" s="4"/>
      <c r="I76" s="6">
        <v>4</v>
      </c>
      <c r="J76" s="6">
        <v>200</v>
      </c>
      <c r="K76" s="6">
        <v>7</v>
      </c>
      <c r="L76" s="4" t="s">
        <v>606</v>
      </c>
      <c r="M76" s="4" t="s">
        <v>186</v>
      </c>
      <c r="N76" s="3">
        <v>995</v>
      </c>
    </row>
    <row r="77" spans="1:14" ht="24.75" customHeight="1">
      <c r="A77" s="3">
        <v>75</v>
      </c>
      <c r="B77" s="4" t="s">
        <v>452</v>
      </c>
      <c r="C77" s="4" t="s">
        <v>595</v>
      </c>
      <c r="D77" s="4" t="s">
        <v>607</v>
      </c>
      <c r="E77" s="4"/>
      <c r="F77" s="4"/>
      <c r="G77" s="4"/>
      <c r="H77" s="4"/>
      <c r="I77" s="6">
        <v>4</v>
      </c>
      <c r="J77" s="6">
        <v>200</v>
      </c>
      <c r="K77" s="6">
        <v>7</v>
      </c>
      <c r="L77" s="4" t="s">
        <v>608</v>
      </c>
      <c r="M77" s="4" t="s">
        <v>186</v>
      </c>
      <c r="N77" s="3">
        <v>995</v>
      </c>
    </row>
    <row r="78" spans="1:14" ht="24.75" customHeight="1">
      <c r="A78" s="3">
        <v>76</v>
      </c>
      <c r="B78" s="4" t="s">
        <v>452</v>
      </c>
      <c r="C78" s="4" t="s">
        <v>595</v>
      </c>
      <c r="D78" s="4" t="s">
        <v>609</v>
      </c>
      <c r="E78" s="4"/>
      <c r="F78" s="4"/>
      <c r="G78" s="4"/>
      <c r="H78" s="4"/>
      <c r="I78" s="6">
        <v>4</v>
      </c>
      <c r="J78" s="6">
        <v>200</v>
      </c>
      <c r="K78" s="6">
        <v>7</v>
      </c>
      <c r="L78" s="4" t="s">
        <v>610</v>
      </c>
      <c r="M78" s="4" t="s">
        <v>186</v>
      </c>
      <c r="N78" s="3">
        <v>995</v>
      </c>
    </row>
    <row r="79" spans="1:14" ht="24.75" customHeight="1">
      <c r="A79" s="3">
        <v>77</v>
      </c>
      <c r="B79" s="4" t="s">
        <v>452</v>
      </c>
      <c r="C79" s="4" t="s">
        <v>611</v>
      </c>
      <c r="D79" s="4" t="s">
        <v>612</v>
      </c>
      <c r="E79" s="4"/>
      <c r="F79" s="4"/>
      <c r="G79" s="4"/>
      <c r="H79" s="4"/>
      <c r="I79" s="6">
        <v>4</v>
      </c>
      <c r="J79" s="6">
        <v>200</v>
      </c>
      <c r="K79" s="6">
        <v>7</v>
      </c>
      <c r="L79" s="4" t="s">
        <v>613</v>
      </c>
      <c r="M79" s="4" t="s">
        <v>177</v>
      </c>
      <c r="N79" s="3">
        <v>1290</v>
      </c>
    </row>
    <row r="80" spans="1:14" ht="24.75" customHeight="1">
      <c r="A80" s="3">
        <v>78</v>
      </c>
      <c r="B80" s="4" t="s">
        <v>452</v>
      </c>
      <c r="C80" s="4" t="s">
        <v>611</v>
      </c>
      <c r="D80" s="4" t="s">
        <v>614</v>
      </c>
      <c r="E80" s="4"/>
      <c r="F80" s="4"/>
      <c r="G80" s="4"/>
      <c r="H80" s="4"/>
      <c r="I80" s="6">
        <v>4</v>
      </c>
      <c r="J80" s="6">
        <v>200</v>
      </c>
      <c r="K80" s="6">
        <v>7</v>
      </c>
      <c r="L80" s="4" t="s">
        <v>615</v>
      </c>
      <c r="M80" s="4" t="s">
        <v>177</v>
      </c>
      <c r="N80" s="3">
        <v>1290</v>
      </c>
    </row>
    <row r="81" spans="1:14" ht="24.75" customHeight="1">
      <c r="A81" s="3">
        <v>79</v>
      </c>
      <c r="B81" s="4" t="s">
        <v>452</v>
      </c>
      <c r="C81" s="4" t="s">
        <v>611</v>
      </c>
      <c r="D81" s="4" t="s">
        <v>616</v>
      </c>
      <c r="E81" s="4"/>
      <c r="F81" s="4"/>
      <c r="G81" s="4"/>
      <c r="H81" s="4"/>
      <c r="I81" s="6">
        <v>4</v>
      </c>
      <c r="J81" s="6">
        <v>200</v>
      </c>
      <c r="K81" s="6">
        <v>7</v>
      </c>
      <c r="L81" s="4" t="s">
        <v>617</v>
      </c>
      <c r="M81" s="4" t="s">
        <v>186</v>
      </c>
      <c r="N81" s="3">
        <v>995</v>
      </c>
    </row>
    <row r="82" spans="1:14" ht="24.75" customHeight="1">
      <c r="A82" s="3">
        <v>80</v>
      </c>
      <c r="B82" s="4" t="s">
        <v>452</v>
      </c>
      <c r="C82" s="4" t="s">
        <v>611</v>
      </c>
      <c r="D82" s="4" t="s">
        <v>618</v>
      </c>
      <c r="E82" s="4"/>
      <c r="F82" s="4"/>
      <c r="G82" s="4"/>
      <c r="H82" s="4"/>
      <c r="I82" s="6">
        <v>4</v>
      </c>
      <c r="J82" s="6">
        <v>200</v>
      </c>
      <c r="K82" s="6">
        <v>7</v>
      </c>
      <c r="L82" s="4" t="s">
        <v>619</v>
      </c>
      <c r="M82" s="4" t="s">
        <v>186</v>
      </c>
      <c r="N82" s="3">
        <v>995</v>
      </c>
    </row>
    <row r="83" spans="1:14" ht="24.75" customHeight="1">
      <c r="A83" s="3">
        <v>81</v>
      </c>
      <c r="B83" s="4" t="s">
        <v>452</v>
      </c>
      <c r="C83" s="4" t="s">
        <v>611</v>
      </c>
      <c r="D83" s="4" t="s">
        <v>620</v>
      </c>
      <c r="E83" s="4"/>
      <c r="F83" s="4"/>
      <c r="G83" s="4"/>
      <c r="H83" s="4"/>
      <c r="I83" s="6">
        <v>4</v>
      </c>
      <c r="J83" s="6">
        <v>200</v>
      </c>
      <c r="K83" s="6">
        <v>7</v>
      </c>
      <c r="L83" s="4" t="s">
        <v>621</v>
      </c>
      <c r="M83" s="4" t="s">
        <v>186</v>
      </c>
      <c r="N83" s="3">
        <v>995</v>
      </c>
    </row>
    <row r="84" spans="1:14" ht="24.75" customHeight="1">
      <c r="A84" s="3">
        <v>82</v>
      </c>
      <c r="B84" s="4" t="s">
        <v>452</v>
      </c>
      <c r="C84" s="4" t="s">
        <v>611</v>
      </c>
      <c r="D84" s="4" t="s">
        <v>622</v>
      </c>
      <c r="E84" s="4"/>
      <c r="F84" s="4"/>
      <c r="G84" s="4"/>
      <c r="H84" s="4"/>
      <c r="I84" s="6">
        <v>4</v>
      </c>
      <c r="J84" s="6">
        <v>200</v>
      </c>
      <c r="K84" s="6">
        <v>7</v>
      </c>
      <c r="L84" s="4" t="s">
        <v>623</v>
      </c>
      <c r="M84" s="4" t="s">
        <v>186</v>
      </c>
      <c r="N84" s="3">
        <v>995</v>
      </c>
    </row>
    <row r="85" spans="1:14" ht="24.75" customHeight="1">
      <c r="A85" s="3">
        <v>83</v>
      </c>
      <c r="B85" s="4" t="s">
        <v>452</v>
      </c>
      <c r="C85" s="4" t="s">
        <v>611</v>
      </c>
      <c r="D85" s="4" t="s">
        <v>624</v>
      </c>
      <c r="E85" s="4"/>
      <c r="F85" s="4"/>
      <c r="G85" s="4"/>
      <c r="H85" s="4"/>
      <c r="I85" s="6">
        <v>4</v>
      </c>
      <c r="J85" s="6">
        <v>200</v>
      </c>
      <c r="K85" s="6">
        <v>7</v>
      </c>
      <c r="L85" s="4" t="s">
        <v>625</v>
      </c>
      <c r="M85" s="4" t="s">
        <v>186</v>
      </c>
      <c r="N85" s="3">
        <v>995</v>
      </c>
    </row>
    <row r="86" spans="1:14" ht="24.75" customHeight="1">
      <c r="A86" s="3">
        <v>84</v>
      </c>
      <c r="B86" s="4" t="s">
        <v>452</v>
      </c>
      <c r="C86" s="4" t="s">
        <v>611</v>
      </c>
      <c r="D86" s="4" t="s">
        <v>626</v>
      </c>
      <c r="E86" s="4"/>
      <c r="F86" s="4"/>
      <c r="G86" s="4"/>
      <c r="H86" s="4"/>
      <c r="I86" s="6">
        <v>4</v>
      </c>
      <c r="J86" s="6">
        <v>200</v>
      </c>
      <c r="K86" s="6">
        <v>7</v>
      </c>
      <c r="L86" s="4" t="s">
        <v>627</v>
      </c>
      <c r="M86" s="4" t="s">
        <v>186</v>
      </c>
      <c r="N86" s="3">
        <v>995</v>
      </c>
    </row>
    <row r="87" spans="1:14" ht="24.75" customHeight="1">
      <c r="A87" s="3">
        <v>85</v>
      </c>
      <c r="B87" s="4" t="s">
        <v>452</v>
      </c>
      <c r="C87" s="4" t="s">
        <v>628</v>
      </c>
      <c r="D87" s="4" t="s">
        <v>631</v>
      </c>
      <c r="E87" s="4"/>
      <c r="F87" s="4"/>
      <c r="G87" s="4"/>
      <c r="H87" s="4"/>
      <c r="I87" s="6">
        <v>4</v>
      </c>
      <c r="J87" s="6">
        <v>200</v>
      </c>
      <c r="K87" s="6">
        <v>7</v>
      </c>
      <c r="L87" s="4" t="s">
        <v>632</v>
      </c>
      <c r="M87" s="4" t="s">
        <v>186</v>
      </c>
      <c r="N87" s="3">
        <v>995</v>
      </c>
    </row>
    <row r="88" spans="1:14" ht="24.75" customHeight="1">
      <c r="A88" s="3">
        <v>86</v>
      </c>
      <c r="B88" s="4" t="s">
        <v>452</v>
      </c>
      <c r="C88" s="4" t="s">
        <v>628</v>
      </c>
      <c r="D88" s="4" t="s">
        <v>633</v>
      </c>
      <c r="E88" s="4"/>
      <c r="F88" s="4"/>
      <c r="G88" s="4"/>
      <c r="H88" s="4"/>
      <c r="I88" s="6">
        <v>4</v>
      </c>
      <c r="J88" s="6">
        <v>200</v>
      </c>
      <c r="K88" s="6">
        <v>7</v>
      </c>
      <c r="L88" s="4" t="s">
        <v>634</v>
      </c>
      <c r="M88" s="4" t="s">
        <v>186</v>
      </c>
      <c r="N88" s="3">
        <v>995</v>
      </c>
    </row>
    <row r="89" spans="1:14" ht="24.75" customHeight="1">
      <c r="A89" s="3">
        <v>87</v>
      </c>
      <c r="B89" s="4" t="s">
        <v>452</v>
      </c>
      <c r="C89" s="4" t="s">
        <v>628</v>
      </c>
      <c r="D89" s="4" t="s">
        <v>635</v>
      </c>
      <c r="E89" s="4"/>
      <c r="F89" s="4"/>
      <c r="G89" s="4"/>
      <c r="H89" s="4"/>
      <c r="I89" s="6">
        <v>4</v>
      </c>
      <c r="J89" s="6">
        <v>200</v>
      </c>
      <c r="K89" s="6">
        <v>7</v>
      </c>
      <c r="L89" s="4" t="s">
        <v>636</v>
      </c>
      <c r="M89" s="4" t="s">
        <v>186</v>
      </c>
      <c r="N89" s="3">
        <v>995</v>
      </c>
    </row>
    <row r="90" spans="1:14" ht="24.75" customHeight="1">
      <c r="A90" s="3">
        <v>88</v>
      </c>
      <c r="B90" s="4" t="s">
        <v>452</v>
      </c>
      <c r="C90" s="4" t="s">
        <v>628</v>
      </c>
      <c r="D90" s="4" t="s">
        <v>637</v>
      </c>
      <c r="E90" s="4"/>
      <c r="F90" s="4"/>
      <c r="G90" s="4"/>
      <c r="H90" s="4"/>
      <c r="I90" s="6">
        <v>4</v>
      </c>
      <c r="J90" s="6">
        <v>200</v>
      </c>
      <c r="K90" s="6">
        <v>7</v>
      </c>
      <c r="L90" s="4" t="s">
        <v>638</v>
      </c>
      <c r="M90" s="4" t="s">
        <v>186</v>
      </c>
      <c r="N90" s="3">
        <v>995</v>
      </c>
    </row>
    <row r="91" spans="1:14" ht="24.75" customHeight="1">
      <c r="A91" s="3">
        <v>89</v>
      </c>
      <c r="B91" s="4" t="s">
        <v>452</v>
      </c>
      <c r="C91" s="4" t="s">
        <v>628</v>
      </c>
      <c r="D91" s="4" t="s">
        <v>639</v>
      </c>
      <c r="E91" s="4"/>
      <c r="F91" s="4"/>
      <c r="G91" s="4"/>
      <c r="H91" s="4"/>
      <c r="I91" s="6">
        <v>4</v>
      </c>
      <c r="J91" s="6">
        <v>200</v>
      </c>
      <c r="K91" s="6">
        <v>7</v>
      </c>
      <c r="L91" s="4" t="s">
        <v>640</v>
      </c>
      <c r="M91" s="4" t="s">
        <v>186</v>
      </c>
      <c r="N91" s="3">
        <v>995</v>
      </c>
    </row>
    <row r="92" spans="1:14" ht="24.75" customHeight="1">
      <c r="A92" s="3">
        <v>90</v>
      </c>
      <c r="B92" s="4" t="s">
        <v>452</v>
      </c>
      <c r="C92" s="4" t="s">
        <v>628</v>
      </c>
      <c r="D92" s="4" t="s">
        <v>641</v>
      </c>
      <c r="E92" s="4"/>
      <c r="F92" s="4"/>
      <c r="G92" s="4"/>
      <c r="H92" s="4"/>
      <c r="I92" s="6">
        <v>4</v>
      </c>
      <c r="J92" s="6">
        <v>200</v>
      </c>
      <c r="K92" s="6">
        <v>7</v>
      </c>
      <c r="L92" s="4" t="s">
        <v>642</v>
      </c>
      <c r="M92" s="4" t="s">
        <v>186</v>
      </c>
      <c r="N92" s="3">
        <v>995</v>
      </c>
    </row>
    <row r="93" spans="1:14" ht="24.75" customHeight="1">
      <c r="A93" s="3">
        <v>91</v>
      </c>
      <c r="B93" s="4" t="s">
        <v>452</v>
      </c>
      <c r="C93" s="4" t="s">
        <v>643</v>
      </c>
      <c r="D93" s="4" t="s">
        <v>644</v>
      </c>
      <c r="E93" s="4"/>
      <c r="F93" s="4"/>
      <c r="G93" s="4"/>
      <c r="H93" s="4"/>
      <c r="I93" s="6">
        <v>4</v>
      </c>
      <c r="J93" s="6">
        <v>200</v>
      </c>
      <c r="K93" s="6">
        <v>7</v>
      </c>
      <c r="L93" s="4" t="s">
        <v>645</v>
      </c>
      <c r="M93" s="4" t="s">
        <v>177</v>
      </c>
      <c r="N93" s="3">
        <v>1290</v>
      </c>
    </row>
    <row r="94" spans="1:14" ht="24.75" customHeight="1">
      <c r="A94" s="3">
        <v>92</v>
      </c>
      <c r="B94" s="4" t="s">
        <v>452</v>
      </c>
      <c r="C94" s="4" t="s">
        <v>643</v>
      </c>
      <c r="D94" s="4" t="s">
        <v>646</v>
      </c>
      <c r="E94" s="4"/>
      <c r="F94" s="4"/>
      <c r="G94" s="4"/>
      <c r="H94" s="4"/>
      <c r="I94" s="6">
        <v>4</v>
      </c>
      <c r="J94" s="6">
        <v>200</v>
      </c>
      <c r="K94" s="6">
        <v>7</v>
      </c>
      <c r="L94" s="4" t="s">
        <v>647</v>
      </c>
      <c r="M94" s="4" t="s">
        <v>177</v>
      </c>
      <c r="N94" s="3">
        <v>1290</v>
      </c>
    </row>
    <row r="95" spans="1:14" ht="24.75" customHeight="1">
      <c r="A95" s="3">
        <v>93</v>
      </c>
      <c r="B95" s="4" t="s">
        <v>452</v>
      </c>
      <c r="C95" s="4" t="s">
        <v>643</v>
      </c>
      <c r="D95" s="4" t="s">
        <v>648</v>
      </c>
      <c r="E95" s="4"/>
      <c r="F95" s="4"/>
      <c r="G95" s="4"/>
      <c r="H95" s="4"/>
      <c r="I95" s="6">
        <v>4</v>
      </c>
      <c r="J95" s="6">
        <v>200</v>
      </c>
      <c r="K95" s="6">
        <v>7</v>
      </c>
      <c r="L95" s="4" t="s">
        <v>649</v>
      </c>
      <c r="M95" s="4" t="s">
        <v>186</v>
      </c>
      <c r="N95" s="3">
        <v>995</v>
      </c>
    </row>
    <row r="96" spans="1:14" ht="24.75" customHeight="1">
      <c r="A96" s="3">
        <v>94</v>
      </c>
      <c r="B96" s="4" t="s">
        <v>452</v>
      </c>
      <c r="C96" s="4" t="s">
        <v>643</v>
      </c>
      <c r="D96" s="4" t="s">
        <v>650</v>
      </c>
      <c r="E96" s="4"/>
      <c r="F96" s="4"/>
      <c r="G96" s="4"/>
      <c r="H96" s="4"/>
      <c r="I96" s="6">
        <v>4</v>
      </c>
      <c r="J96" s="6">
        <v>200</v>
      </c>
      <c r="K96" s="6">
        <v>7</v>
      </c>
      <c r="L96" s="4" t="s">
        <v>651</v>
      </c>
      <c r="M96" s="4" t="s">
        <v>186</v>
      </c>
      <c r="N96" s="3">
        <v>995</v>
      </c>
    </row>
    <row r="97" spans="1:14" ht="24.75" customHeight="1">
      <c r="A97" s="3">
        <v>95</v>
      </c>
      <c r="B97" s="4" t="s">
        <v>452</v>
      </c>
      <c r="C97" s="4" t="s">
        <v>643</v>
      </c>
      <c r="D97" s="4" t="s">
        <v>652</v>
      </c>
      <c r="E97" s="4"/>
      <c r="F97" s="4"/>
      <c r="G97" s="4"/>
      <c r="H97" s="4"/>
      <c r="I97" s="6">
        <v>4</v>
      </c>
      <c r="J97" s="6">
        <v>200</v>
      </c>
      <c r="K97" s="6">
        <v>7</v>
      </c>
      <c r="L97" s="4" t="s">
        <v>653</v>
      </c>
      <c r="M97" s="4" t="s">
        <v>186</v>
      </c>
      <c r="N97" s="3">
        <v>995</v>
      </c>
    </row>
    <row r="98" spans="1:14" ht="24.75" customHeight="1">
      <c r="A98" s="3">
        <v>96</v>
      </c>
      <c r="B98" s="4" t="s">
        <v>452</v>
      </c>
      <c r="C98" s="4" t="s">
        <v>643</v>
      </c>
      <c r="D98" s="4" t="s">
        <v>654</v>
      </c>
      <c r="E98" s="4"/>
      <c r="F98" s="4"/>
      <c r="G98" s="4"/>
      <c r="H98" s="4"/>
      <c r="I98" s="6">
        <v>4</v>
      </c>
      <c r="J98" s="6">
        <v>200</v>
      </c>
      <c r="K98" s="6">
        <v>7</v>
      </c>
      <c r="L98" s="4" t="s">
        <v>655</v>
      </c>
      <c r="M98" s="4" t="s">
        <v>186</v>
      </c>
      <c r="N98" s="3">
        <v>995</v>
      </c>
    </row>
    <row r="99" spans="1:14" ht="24.75" customHeight="1">
      <c r="A99" s="3">
        <v>97</v>
      </c>
      <c r="B99" s="4" t="s">
        <v>452</v>
      </c>
      <c r="C99" s="4" t="s">
        <v>643</v>
      </c>
      <c r="D99" s="4" t="s">
        <v>656</v>
      </c>
      <c r="E99" s="4"/>
      <c r="F99" s="4"/>
      <c r="G99" s="4"/>
      <c r="H99" s="4"/>
      <c r="I99" s="6">
        <v>4</v>
      </c>
      <c r="J99" s="6">
        <v>200</v>
      </c>
      <c r="K99" s="6">
        <v>7</v>
      </c>
      <c r="L99" s="4" t="s">
        <v>657</v>
      </c>
      <c r="M99" s="4" t="s">
        <v>186</v>
      </c>
      <c r="N99" s="3">
        <v>995</v>
      </c>
    </row>
    <row r="100" spans="1:14" ht="24.75" customHeight="1">
      <c r="A100" s="3">
        <v>98</v>
      </c>
      <c r="B100" s="4" t="s">
        <v>452</v>
      </c>
      <c r="C100" s="4" t="s">
        <v>643</v>
      </c>
      <c r="D100" s="4" t="s">
        <v>658</v>
      </c>
      <c r="E100" s="4"/>
      <c r="F100" s="4"/>
      <c r="G100" s="4"/>
      <c r="H100" s="4"/>
      <c r="I100" s="6">
        <v>4</v>
      </c>
      <c r="J100" s="6">
        <v>200</v>
      </c>
      <c r="K100" s="6">
        <v>7</v>
      </c>
      <c r="L100" s="4" t="s">
        <v>659</v>
      </c>
      <c r="M100" s="4" t="s">
        <v>186</v>
      </c>
      <c r="N100" s="3">
        <v>995</v>
      </c>
    </row>
    <row r="101" spans="1:14" ht="24.75" customHeight="1">
      <c r="A101" s="3">
        <v>99</v>
      </c>
      <c r="B101" s="4" t="s">
        <v>452</v>
      </c>
      <c r="C101" s="4" t="s">
        <v>660</v>
      </c>
      <c r="D101" s="4" t="s">
        <v>662</v>
      </c>
      <c r="E101" s="4"/>
      <c r="F101" s="4"/>
      <c r="G101" s="4"/>
      <c r="H101" s="4"/>
      <c r="I101" s="6">
        <v>4</v>
      </c>
      <c r="J101" s="6">
        <v>200</v>
      </c>
      <c r="K101" s="6">
        <v>7</v>
      </c>
      <c r="L101" s="4" t="s">
        <v>663</v>
      </c>
      <c r="M101" s="4" t="s">
        <v>177</v>
      </c>
      <c r="N101" s="3">
        <v>1290</v>
      </c>
    </row>
    <row r="102" spans="1:14" ht="24.75" customHeight="1">
      <c r="A102" s="3">
        <v>100</v>
      </c>
      <c r="B102" s="4" t="s">
        <v>452</v>
      </c>
      <c r="C102" s="4" t="s">
        <v>660</v>
      </c>
      <c r="D102" s="4" t="s">
        <v>664</v>
      </c>
      <c r="E102" s="4"/>
      <c r="F102" s="4"/>
      <c r="G102" s="4"/>
      <c r="H102" s="4"/>
      <c r="I102" s="6">
        <v>4</v>
      </c>
      <c r="J102" s="6">
        <v>200</v>
      </c>
      <c r="K102" s="6">
        <v>7</v>
      </c>
      <c r="L102" s="4" t="s">
        <v>665</v>
      </c>
      <c r="M102" s="4" t="s">
        <v>186</v>
      </c>
      <c r="N102" s="3">
        <v>995</v>
      </c>
    </row>
    <row r="103" spans="1:14" ht="24.75" customHeight="1">
      <c r="A103" s="3">
        <v>101</v>
      </c>
      <c r="B103" s="4" t="s">
        <v>452</v>
      </c>
      <c r="C103" s="4" t="s">
        <v>660</v>
      </c>
      <c r="D103" s="4" t="s">
        <v>666</v>
      </c>
      <c r="E103" s="4"/>
      <c r="F103" s="4"/>
      <c r="G103" s="4"/>
      <c r="H103" s="4"/>
      <c r="I103" s="6">
        <v>4</v>
      </c>
      <c r="J103" s="6">
        <v>200</v>
      </c>
      <c r="K103" s="6">
        <v>7</v>
      </c>
      <c r="L103" s="4" t="s">
        <v>667</v>
      </c>
      <c r="M103" s="4" t="s">
        <v>186</v>
      </c>
      <c r="N103" s="3">
        <v>995</v>
      </c>
    </row>
    <row r="104" spans="1:14" ht="24.75" customHeight="1">
      <c r="A104" s="3">
        <v>102</v>
      </c>
      <c r="B104" s="4" t="s">
        <v>452</v>
      </c>
      <c r="C104" s="4" t="s">
        <v>660</v>
      </c>
      <c r="D104" s="4" t="s">
        <v>669</v>
      </c>
      <c r="E104" s="4"/>
      <c r="F104" s="4"/>
      <c r="G104" s="4"/>
      <c r="H104" s="4"/>
      <c r="I104" s="6">
        <v>4</v>
      </c>
      <c r="J104" s="6">
        <v>200</v>
      </c>
      <c r="K104" s="6">
        <v>7</v>
      </c>
      <c r="L104" s="4" t="s">
        <v>670</v>
      </c>
      <c r="M104" s="4" t="s">
        <v>186</v>
      </c>
      <c r="N104" s="3">
        <v>995</v>
      </c>
    </row>
    <row r="105" spans="1:14" ht="24.75" customHeight="1">
      <c r="A105" s="3">
        <v>103</v>
      </c>
      <c r="B105" s="4" t="s">
        <v>452</v>
      </c>
      <c r="C105" s="4" t="s">
        <v>660</v>
      </c>
      <c r="D105" s="4" t="s">
        <v>671</v>
      </c>
      <c r="E105" s="4"/>
      <c r="F105" s="4"/>
      <c r="G105" s="4"/>
      <c r="H105" s="4"/>
      <c r="I105" s="6">
        <v>4</v>
      </c>
      <c r="J105" s="6">
        <v>200</v>
      </c>
      <c r="K105" s="6">
        <v>7</v>
      </c>
      <c r="L105" s="4" t="s">
        <v>672</v>
      </c>
      <c r="M105" s="4" t="s">
        <v>186</v>
      </c>
      <c r="N105" s="3">
        <v>995</v>
      </c>
    </row>
    <row r="106" spans="1:14" ht="24.75" customHeight="1">
      <c r="A106" s="3">
        <v>104</v>
      </c>
      <c r="B106" s="4" t="s">
        <v>452</v>
      </c>
      <c r="C106" s="4" t="s">
        <v>660</v>
      </c>
      <c r="D106" s="4" t="s">
        <v>673</v>
      </c>
      <c r="E106" s="4"/>
      <c r="F106" s="4"/>
      <c r="G106" s="4"/>
      <c r="H106" s="4"/>
      <c r="I106" s="6">
        <v>4</v>
      </c>
      <c r="J106" s="6">
        <v>200</v>
      </c>
      <c r="K106" s="6">
        <v>7</v>
      </c>
      <c r="L106" s="4" t="s">
        <v>674</v>
      </c>
      <c r="M106" s="4" t="s">
        <v>186</v>
      </c>
      <c r="N106" s="3">
        <v>995</v>
      </c>
    </row>
    <row r="107" spans="1:14" ht="24.75" customHeight="1">
      <c r="A107" s="3">
        <v>105</v>
      </c>
      <c r="B107" s="4" t="s">
        <v>452</v>
      </c>
      <c r="C107" s="4" t="s">
        <v>675</v>
      </c>
      <c r="D107" s="4" t="s">
        <v>676</v>
      </c>
      <c r="E107" s="4"/>
      <c r="F107" s="4"/>
      <c r="G107" s="4"/>
      <c r="H107" s="4"/>
      <c r="I107" s="6">
        <v>4</v>
      </c>
      <c r="J107" s="6">
        <v>200</v>
      </c>
      <c r="K107" s="6">
        <v>7</v>
      </c>
      <c r="L107" s="4" t="s">
        <v>677</v>
      </c>
      <c r="M107" s="4" t="s">
        <v>177</v>
      </c>
      <c r="N107" s="3">
        <v>1290</v>
      </c>
    </row>
    <row r="108" spans="1:14" ht="24.75" customHeight="1">
      <c r="A108" s="3">
        <v>106</v>
      </c>
      <c r="B108" s="4" t="s">
        <v>452</v>
      </c>
      <c r="C108" s="4" t="s">
        <v>675</v>
      </c>
      <c r="D108" s="4" t="s">
        <v>679</v>
      </c>
      <c r="E108" s="4"/>
      <c r="F108" s="4"/>
      <c r="G108" s="4"/>
      <c r="H108" s="4"/>
      <c r="I108" s="6">
        <v>4</v>
      </c>
      <c r="J108" s="6">
        <v>200</v>
      </c>
      <c r="K108" s="6">
        <v>7</v>
      </c>
      <c r="L108" s="4" t="s">
        <v>680</v>
      </c>
      <c r="M108" s="4" t="s">
        <v>186</v>
      </c>
      <c r="N108" s="3">
        <v>995</v>
      </c>
    </row>
    <row r="109" spans="1:14" ht="24.75" customHeight="1">
      <c r="A109" s="3">
        <v>107</v>
      </c>
      <c r="B109" s="4" t="s">
        <v>452</v>
      </c>
      <c r="C109" s="4" t="s">
        <v>675</v>
      </c>
      <c r="D109" s="4" t="s">
        <v>681</v>
      </c>
      <c r="E109" s="4"/>
      <c r="F109" s="4"/>
      <c r="G109" s="4"/>
      <c r="H109" s="4"/>
      <c r="I109" s="6">
        <v>4</v>
      </c>
      <c r="J109" s="6">
        <v>200</v>
      </c>
      <c r="K109" s="6">
        <v>7</v>
      </c>
      <c r="L109" s="4" t="s">
        <v>682</v>
      </c>
      <c r="M109" s="4" t="s">
        <v>186</v>
      </c>
      <c r="N109" s="3">
        <v>995</v>
      </c>
    </row>
    <row r="110" spans="1:14" ht="24.75" customHeight="1">
      <c r="A110" s="3">
        <v>108</v>
      </c>
      <c r="B110" s="4" t="s">
        <v>452</v>
      </c>
      <c r="C110" s="4" t="s">
        <v>675</v>
      </c>
      <c r="D110" s="4" t="s">
        <v>683</v>
      </c>
      <c r="E110" s="4"/>
      <c r="F110" s="4"/>
      <c r="G110" s="4"/>
      <c r="H110" s="4"/>
      <c r="I110" s="6">
        <v>4</v>
      </c>
      <c r="J110" s="6">
        <v>200</v>
      </c>
      <c r="K110" s="6">
        <v>7</v>
      </c>
      <c r="L110" s="4" t="s">
        <v>684</v>
      </c>
      <c r="M110" s="4" t="s">
        <v>186</v>
      </c>
      <c r="N110" s="3">
        <v>995</v>
      </c>
    </row>
    <row r="111" spans="1:14" ht="24.75" customHeight="1">
      <c r="A111" s="3">
        <v>109</v>
      </c>
      <c r="B111" s="4" t="s">
        <v>452</v>
      </c>
      <c r="C111" s="4" t="s">
        <v>675</v>
      </c>
      <c r="D111" s="4" t="s">
        <v>685</v>
      </c>
      <c r="E111" s="4"/>
      <c r="F111" s="4"/>
      <c r="G111" s="4"/>
      <c r="H111" s="4"/>
      <c r="I111" s="6">
        <v>4</v>
      </c>
      <c r="J111" s="6">
        <v>200</v>
      </c>
      <c r="K111" s="6">
        <v>7</v>
      </c>
      <c r="L111" s="4" t="s">
        <v>686</v>
      </c>
      <c r="M111" s="4" t="s">
        <v>186</v>
      </c>
      <c r="N111" s="3">
        <v>995</v>
      </c>
    </row>
    <row r="112" spans="1:14" ht="24.75" customHeight="1">
      <c r="A112" s="3">
        <v>110</v>
      </c>
      <c r="B112" s="4" t="s">
        <v>452</v>
      </c>
      <c r="C112" s="4" t="s">
        <v>675</v>
      </c>
      <c r="D112" s="4" t="s">
        <v>687</v>
      </c>
      <c r="E112" s="4"/>
      <c r="F112" s="4"/>
      <c r="G112" s="4"/>
      <c r="H112" s="4"/>
      <c r="I112" s="6">
        <v>4</v>
      </c>
      <c r="J112" s="6">
        <v>200</v>
      </c>
      <c r="K112" s="6">
        <v>7</v>
      </c>
      <c r="L112" s="4" t="s">
        <v>565</v>
      </c>
      <c r="M112" s="4" t="s">
        <v>186</v>
      </c>
      <c r="N112" s="3">
        <v>995</v>
      </c>
    </row>
    <row r="113" spans="1:14" ht="24.75" customHeight="1">
      <c r="A113" s="3">
        <v>111</v>
      </c>
      <c r="B113" s="4" t="s">
        <v>452</v>
      </c>
      <c r="C113" s="4" t="s">
        <v>675</v>
      </c>
      <c r="D113" s="4" t="s">
        <v>688</v>
      </c>
      <c r="E113" s="4"/>
      <c r="F113" s="4"/>
      <c r="G113" s="4"/>
      <c r="H113" s="4"/>
      <c r="I113" s="6">
        <v>4</v>
      </c>
      <c r="J113" s="6">
        <v>200</v>
      </c>
      <c r="K113" s="6">
        <v>7</v>
      </c>
      <c r="L113" s="4" t="s">
        <v>689</v>
      </c>
      <c r="M113" s="4" t="s">
        <v>186</v>
      </c>
      <c r="N113" s="3">
        <v>995</v>
      </c>
    </row>
    <row r="114" spans="1:14" ht="24.75" customHeight="1">
      <c r="A114" s="3">
        <v>112</v>
      </c>
      <c r="B114" s="4" t="s">
        <v>452</v>
      </c>
      <c r="C114" s="4" t="s">
        <v>690</v>
      </c>
      <c r="D114" s="4" t="s">
        <v>691</v>
      </c>
      <c r="E114" s="4"/>
      <c r="F114" s="4"/>
      <c r="G114" s="4"/>
      <c r="H114" s="4"/>
      <c r="I114" s="6">
        <v>4</v>
      </c>
      <c r="J114" s="6">
        <v>200</v>
      </c>
      <c r="K114" s="6">
        <v>7</v>
      </c>
      <c r="L114" s="4" t="s">
        <v>692</v>
      </c>
      <c r="M114" s="4" t="s">
        <v>177</v>
      </c>
      <c r="N114" s="3">
        <v>1290</v>
      </c>
    </row>
    <row r="115" spans="1:14" ht="24.75" customHeight="1">
      <c r="A115" s="3">
        <v>113</v>
      </c>
      <c r="B115" s="4" t="s">
        <v>452</v>
      </c>
      <c r="C115" s="4" t="s">
        <v>690</v>
      </c>
      <c r="D115" s="4" t="s">
        <v>693</v>
      </c>
      <c r="E115" s="4"/>
      <c r="F115" s="4"/>
      <c r="G115" s="4"/>
      <c r="H115" s="4"/>
      <c r="I115" s="6">
        <v>4</v>
      </c>
      <c r="J115" s="6">
        <v>200</v>
      </c>
      <c r="K115" s="6">
        <v>7</v>
      </c>
      <c r="L115" s="4" t="s">
        <v>694</v>
      </c>
      <c r="M115" s="4" t="s">
        <v>177</v>
      </c>
      <c r="N115" s="3">
        <v>1290</v>
      </c>
    </row>
    <row r="116" spans="1:14" ht="24.75" customHeight="1">
      <c r="A116" s="3">
        <v>114</v>
      </c>
      <c r="B116" s="4" t="s">
        <v>452</v>
      </c>
      <c r="C116" s="4" t="s">
        <v>690</v>
      </c>
      <c r="D116" s="4" t="s">
        <v>696</v>
      </c>
      <c r="E116" s="4"/>
      <c r="F116" s="4"/>
      <c r="G116" s="4"/>
      <c r="H116" s="4"/>
      <c r="I116" s="6">
        <v>4</v>
      </c>
      <c r="J116" s="6">
        <v>200</v>
      </c>
      <c r="K116" s="6">
        <v>7</v>
      </c>
      <c r="L116" s="4" t="s">
        <v>697</v>
      </c>
      <c r="M116" s="4" t="s">
        <v>186</v>
      </c>
      <c r="N116" s="3">
        <v>995</v>
      </c>
    </row>
    <row r="117" spans="1:14" ht="24.75" customHeight="1">
      <c r="A117" s="3">
        <v>115</v>
      </c>
      <c r="B117" s="4" t="s">
        <v>452</v>
      </c>
      <c r="C117" s="4" t="s">
        <v>690</v>
      </c>
      <c r="D117" s="4" t="s">
        <v>698</v>
      </c>
      <c r="E117" s="4"/>
      <c r="F117" s="4"/>
      <c r="G117" s="4"/>
      <c r="H117" s="4"/>
      <c r="I117" s="6">
        <v>4</v>
      </c>
      <c r="J117" s="6">
        <v>200</v>
      </c>
      <c r="K117" s="6">
        <v>7</v>
      </c>
      <c r="L117" s="4" t="s">
        <v>699</v>
      </c>
      <c r="M117" s="4" t="s">
        <v>186</v>
      </c>
      <c r="N117" s="3">
        <v>995</v>
      </c>
    </row>
    <row r="118" spans="1:14" ht="24.75" customHeight="1">
      <c r="A118" s="3">
        <v>116</v>
      </c>
      <c r="B118" s="4" t="s">
        <v>452</v>
      </c>
      <c r="C118" s="4" t="s">
        <v>690</v>
      </c>
      <c r="D118" s="4" t="s">
        <v>700</v>
      </c>
      <c r="E118" s="4"/>
      <c r="F118" s="4"/>
      <c r="G118" s="4"/>
      <c r="H118" s="4"/>
      <c r="I118" s="6">
        <v>4</v>
      </c>
      <c r="J118" s="6">
        <v>200</v>
      </c>
      <c r="K118" s="6">
        <v>7</v>
      </c>
      <c r="L118" s="4" t="s">
        <v>701</v>
      </c>
      <c r="M118" s="4" t="s">
        <v>186</v>
      </c>
      <c r="N118" s="3">
        <v>995</v>
      </c>
    </row>
    <row r="119" spans="1:14" ht="24.75" customHeight="1">
      <c r="A119" s="3">
        <v>117</v>
      </c>
      <c r="B119" s="4" t="s">
        <v>452</v>
      </c>
      <c r="C119" s="4" t="s">
        <v>690</v>
      </c>
      <c r="D119" s="4" t="s">
        <v>702</v>
      </c>
      <c r="E119" s="4"/>
      <c r="F119" s="4"/>
      <c r="G119" s="4"/>
      <c r="H119" s="4"/>
      <c r="I119" s="6">
        <v>4</v>
      </c>
      <c r="J119" s="6">
        <v>200</v>
      </c>
      <c r="K119" s="6">
        <v>7</v>
      </c>
      <c r="L119" s="4" t="s">
        <v>703</v>
      </c>
      <c r="M119" s="4" t="s">
        <v>186</v>
      </c>
      <c r="N119" s="3">
        <v>995</v>
      </c>
    </row>
    <row r="120" spans="1:14" ht="24.75" customHeight="1">
      <c r="A120" s="3">
        <v>118</v>
      </c>
      <c r="B120" s="4" t="s">
        <v>452</v>
      </c>
      <c r="C120" s="4" t="s">
        <v>690</v>
      </c>
      <c r="D120" s="4" t="s">
        <v>704</v>
      </c>
      <c r="E120" s="4"/>
      <c r="F120" s="4"/>
      <c r="G120" s="4"/>
      <c r="H120" s="4"/>
      <c r="I120" s="6">
        <v>4</v>
      </c>
      <c r="J120" s="6">
        <v>200</v>
      </c>
      <c r="K120" s="6">
        <v>7</v>
      </c>
      <c r="L120" s="4" t="s">
        <v>705</v>
      </c>
      <c r="M120" s="4" t="s">
        <v>186</v>
      </c>
      <c r="N120" s="3">
        <v>995</v>
      </c>
    </row>
    <row r="121" spans="1:14" ht="24.75" customHeight="1">
      <c r="A121" s="3">
        <v>119</v>
      </c>
      <c r="B121" s="4" t="s">
        <v>452</v>
      </c>
      <c r="C121" s="4" t="s">
        <v>706</v>
      </c>
      <c r="D121" s="4" t="s">
        <v>960</v>
      </c>
      <c r="E121" s="4"/>
      <c r="F121" s="4"/>
      <c r="G121" s="4"/>
      <c r="H121" s="4"/>
      <c r="I121" s="6">
        <v>4</v>
      </c>
      <c r="J121" s="6">
        <v>200</v>
      </c>
      <c r="K121" s="6">
        <v>7</v>
      </c>
      <c r="L121" s="4" t="s">
        <v>708</v>
      </c>
      <c r="M121" s="4" t="s">
        <v>177</v>
      </c>
      <c r="N121" s="3">
        <v>1290</v>
      </c>
    </row>
    <row r="122" spans="1:14" ht="24.75" customHeight="1">
      <c r="A122" s="3">
        <v>120</v>
      </c>
      <c r="B122" s="4" t="s">
        <v>452</v>
      </c>
      <c r="C122" s="4" t="s">
        <v>706</v>
      </c>
      <c r="D122" s="4" t="s">
        <v>709</v>
      </c>
      <c r="E122" s="4"/>
      <c r="F122" s="4"/>
      <c r="G122" s="4"/>
      <c r="H122" s="4"/>
      <c r="I122" s="6">
        <v>4</v>
      </c>
      <c r="J122" s="6">
        <v>200</v>
      </c>
      <c r="K122" s="6">
        <v>7</v>
      </c>
      <c r="L122" s="4" t="s">
        <v>710</v>
      </c>
      <c r="M122" s="4" t="s">
        <v>177</v>
      </c>
      <c r="N122" s="3">
        <v>1290</v>
      </c>
    </row>
    <row r="123" spans="1:14" ht="24.75" customHeight="1">
      <c r="A123" s="3">
        <v>121</v>
      </c>
      <c r="B123" s="4" t="s">
        <v>452</v>
      </c>
      <c r="C123" s="4" t="s">
        <v>706</v>
      </c>
      <c r="D123" s="4" t="s">
        <v>712</v>
      </c>
      <c r="E123" s="4"/>
      <c r="F123" s="4"/>
      <c r="G123" s="4"/>
      <c r="H123" s="4"/>
      <c r="I123" s="6">
        <v>4</v>
      </c>
      <c r="J123" s="6">
        <v>200</v>
      </c>
      <c r="K123" s="6">
        <v>7</v>
      </c>
      <c r="L123" s="4" t="s">
        <v>713</v>
      </c>
      <c r="M123" s="4" t="s">
        <v>186</v>
      </c>
      <c r="N123" s="3">
        <v>995</v>
      </c>
    </row>
    <row r="124" spans="1:14" ht="24.75" customHeight="1">
      <c r="A124" s="3">
        <v>122</v>
      </c>
      <c r="B124" s="4" t="s">
        <v>452</v>
      </c>
      <c r="C124" s="4" t="s">
        <v>706</v>
      </c>
      <c r="D124" s="4" t="s">
        <v>714</v>
      </c>
      <c r="E124" s="4"/>
      <c r="F124" s="4"/>
      <c r="G124" s="4"/>
      <c r="H124" s="4"/>
      <c r="I124" s="6">
        <v>4</v>
      </c>
      <c r="J124" s="6">
        <v>200</v>
      </c>
      <c r="K124" s="6">
        <v>7</v>
      </c>
      <c r="L124" s="4" t="s">
        <v>715</v>
      </c>
      <c r="M124" s="4" t="s">
        <v>186</v>
      </c>
      <c r="N124" s="3">
        <v>995</v>
      </c>
    </row>
    <row r="125" spans="1:14" ht="24.75" customHeight="1">
      <c r="A125" s="3">
        <v>123</v>
      </c>
      <c r="B125" s="4" t="s">
        <v>452</v>
      </c>
      <c r="C125" s="4" t="s">
        <v>706</v>
      </c>
      <c r="D125" s="4" t="s">
        <v>716</v>
      </c>
      <c r="E125" s="4"/>
      <c r="F125" s="4"/>
      <c r="G125" s="4"/>
      <c r="H125" s="4"/>
      <c r="I125" s="6">
        <v>4</v>
      </c>
      <c r="J125" s="6">
        <v>200</v>
      </c>
      <c r="K125" s="6">
        <v>7</v>
      </c>
      <c r="L125" s="4" t="s">
        <v>717</v>
      </c>
      <c r="M125" s="4" t="s">
        <v>186</v>
      </c>
      <c r="N125" s="3">
        <v>995</v>
      </c>
    </row>
    <row r="126" spans="1:14" ht="24.75" customHeight="1">
      <c r="A126" s="3">
        <v>124</v>
      </c>
      <c r="B126" s="4" t="s">
        <v>452</v>
      </c>
      <c r="C126" s="4" t="s">
        <v>706</v>
      </c>
      <c r="D126" s="4" t="s">
        <v>718</v>
      </c>
      <c r="E126" s="4"/>
      <c r="F126" s="4"/>
      <c r="G126" s="4"/>
      <c r="H126" s="4"/>
      <c r="I126" s="6">
        <v>4</v>
      </c>
      <c r="J126" s="6">
        <v>200</v>
      </c>
      <c r="K126" s="6">
        <v>7</v>
      </c>
      <c r="L126" s="4" t="s">
        <v>719</v>
      </c>
      <c r="M126" s="4" t="s">
        <v>186</v>
      </c>
      <c r="N126" s="3">
        <v>995</v>
      </c>
    </row>
    <row r="127" spans="1:14" ht="24.75" customHeight="1">
      <c r="A127" s="3">
        <v>125</v>
      </c>
      <c r="B127" s="4" t="s">
        <v>452</v>
      </c>
      <c r="C127" s="4" t="s">
        <v>706</v>
      </c>
      <c r="D127" s="4" t="s">
        <v>720</v>
      </c>
      <c r="E127" s="4"/>
      <c r="F127" s="4"/>
      <c r="G127" s="4"/>
      <c r="H127" s="4"/>
      <c r="I127" s="6">
        <v>4</v>
      </c>
      <c r="J127" s="6">
        <v>200</v>
      </c>
      <c r="K127" s="6">
        <v>7</v>
      </c>
      <c r="L127" s="4" t="s">
        <v>621</v>
      </c>
      <c r="M127" s="4" t="s">
        <v>186</v>
      </c>
      <c r="N127" s="3">
        <v>995</v>
      </c>
    </row>
    <row r="128" spans="1:14" ht="24.75" customHeight="1">
      <c r="A128" s="3">
        <v>126</v>
      </c>
      <c r="B128" s="4" t="s">
        <v>452</v>
      </c>
      <c r="C128" s="4" t="s">
        <v>721</v>
      </c>
      <c r="D128" s="4" t="s">
        <v>723</v>
      </c>
      <c r="E128" s="4"/>
      <c r="F128" s="4"/>
      <c r="G128" s="4"/>
      <c r="H128" s="4"/>
      <c r="I128" s="6">
        <v>4</v>
      </c>
      <c r="J128" s="6">
        <v>200</v>
      </c>
      <c r="K128" s="6">
        <v>7</v>
      </c>
      <c r="L128" s="4" t="s">
        <v>724</v>
      </c>
      <c r="M128" s="4" t="s">
        <v>177</v>
      </c>
      <c r="N128" s="3">
        <v>1290</v>
      </c>
    </row>
    <row r="129" spans="1:14" ht="24.75" customHeight="1">
      <c r="A129" s="3">
        <v>127</v>
      </c>
      <c r="B129" s="4" t="s">
        <v>452</v>
      </c>
      <c r="C129" s="4" t="s">
        <v>721</v>
      </c>
      <c r="D129" s="4" t="s">
        <v>725</v>
      </c>
      <c r="E129" s="4"/>
      <c r="F129" s="4"/>
      <c r="G129" s="4"/>
      <c r="H129" s="4"/>
      <c r="I129" s="6">
        <v>4</v>
      </c>
      <c r="J129" s="6">
        <v>200</v>
      </c>
      <c r="K129" s="6">
        <v>7</v>
      </c>
      <c r="L129" s="4" t="s">
        <v>726</v>
      </c>
      <c r="M129" s="4" t="s">
        <v>186</v>
      </c>
      <c r="N129" s="3">
        <v>995</v>
      </c>
    </row>
    <row r="130" spans="1:14" ht="24.75" customHeight="1">
      <c r="A130" s="3">
        <v>128</v>
      </c>
      <c r="B130" s="4" t="s">
        <v>452</v>
      </c>
      <c r="C130" s="4" t="s">
        <v>721</v>
      </c>
      <c r="D130" s="4" t="s">
        <v>727</v>
      </c>
      <c r="E130" s="4"/>
      <c r="F130" s="4"/>
      <c r="G130" s="4"/>
      <c r="H130" s="4"/>
      <c r="I130" s="6">
        <v>4</v>
      </c>
      <c r="J130" s="6">
        <v>200</v>
      </c>
      <c r="K130" s="6">
        <v>7</v>
      </c>
      <c r="L130" s="4" t="s">
        <v>728</v>
      </c>
      <c r="M130" s="4" t="s">
        <v>186</v>
      </c>
      <c r="N130" s="3">
        <v>995</v>
      </c>
    </row>
    <row r="131" spans="1:14" ht="24.75" customHeight="1">
      <c r="A131" s="3">
        <v>129</v>
      </c>
      <c r="B131" s="4" t="s">
        <v>452</v>
      </c>
      <c r="C131" s="4" t="s">
        <v>721</v>
      </c>
      <c r="D131" s="4" t="s">
        <v>731</v>
      </c>
      <c r="E131" s="4"/>
      <c r="F131" s="4"/>
      <c r="G131" s="4"/>
      <c r="H131" s="4"/>
      <c r="I131" s="6">
        <v>4</v>
      </c>
      <c r="J131" s="6">
        <v>200</v>
      </c>
      <c r="K131" s="6">
        <v>7</v>
      </c>
      <c r="L131" s="4" t="s">
        <v>732</v>
      </c>
      <c r="M131" s="4" t="s">
        <v>186</v>
      </c>
      <c r="N131" s="3">
        <v>995</v>
      </c>
    </row>
    <row r="132" spans="1:14" ht="24.75" customHeight="1">
      <c r="A132" s="3">
        <v>130</v>
      </c>
      <c r="B132" s="4" t="s">
        <v>452</v>
      </c>
      <c r="C132" s="4" t="s">
        <v>721</v>
      </c>
      <c r="D132" s="4" t="s">
        <v>733</v>
      </c>
      <c r="E132" s="4"/>
      <c r="F132" s="4"/>
      <c r="G132" s="4"/>
      <c r="H132" s="4"/>
      <c r="I132" s="6">
        <v>4</v>
      </c>
      <c r="J132" s="6">
        <v>200</v>
      </c>
      <c r="K132" s="6">
        <v>7</v>
      </c>
      <c r="L132" s="4" t="s">
        <v>372</v>
      </c>
      <c r="M132" s="4" t="s">
        <v>186</v>
      </c>
      <c r="N132" s="3">
        <v>995</v>
      </c>
    </row>
    <row r="133" spans="1:14" ht="24.75" customHeight="1">
      <c r="A133" s="3">
        <v>131</v>
      </c>
      <c r="B133" s="4" t="s">
        <v>452</v>
      </c>
      <c r="C133" s="4" t="s">
        <v>734</v>
      </c>
      <c r="D133" s="4" t="s">
        <v>735</v>
      </c>
      <c r="E133" s="4"/>
      <c r="F133" s="4"/>
      <c r="G133" s="4"/>
      <c r="H133" s="4"/>
      <c r="I133" s="6">
        <v>4</v>
      </c>
      <c r="J133" s="6">
        <v>200</v>
      </c>
      <c r="K133" s="6">
        <v>7</v>
      </c>
      <c r="L133" s="4" t="s">
        <v>736</v>
      </c>
      <c r="M133" s="4" t="s">
        <v>177</v>
      </c>
      <c r="N133" s="3">
        <v>1290</v>
      </c>
    </row>
    <row r="134" spans="1:14" ht="24.75" customHeight="1">
      <c r="A134" s="3">
        <v>132</v>
      </c>
      <c r="B134" s="4" t="s">
        <v>452</v>
      </c>
      <c r="C134" s="4" t="s">
        <v>734</v>
      </c>
      <c r="D134" s="4" t="s">
        <v>742</v>
      </c>
      <c r="E134" s="4"/>
      <c r="F134" s="4"/>
      <c r="G134" s="4"/>
      <c r="H134" s="4"/>
      <c r="I134" s="6">
        <v>4</v>
      </c>
      <c r="J134" s="6">
        <v>200</v>
      </c>
      <c r="K134" s="6">
        <v>7</v>
      </c>
      <c r="L134" s="4" t="s">
        <v>743</v>
      </c>
      <c r="M134" s="4" t="s">
        <v>186</v>
      </c>
      <c r="N134" s="3">
        <v>995</v>
      </c>
    </row>
    <row r="135" spans="1:14" ht="12.75" customHeight="1"/>
    <row r="136" spans="1:14" ht="12.75" customHeight="1"/>
    <row r="137" spans="1:14" ht="12.75" customHeight="1"/>
    <row r="138" spans="1:14" ht="12.75" customHeight="1"/>
    <row r="139" spans="1:14" ht="12.75" customHeight="1"/>
    <row r="140" spans="1:14" ht="12.75" customHeight="1"/>
    <row r="141" spans="1:14" ht="12.75" customHeight="1"/>
    <row r="142" spans="1:14" ht="12.75" customHeight="1"/>
    <row r="143" spans="1:14" ht="12.75" customHeight="1"/>
    <row r="144" spans="1:1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1">
    <mergeCell ref="A1:H1"/>
  </mergeCells>
  <pageMargins left="0.51181102362204722" right="0.19685039370078741" top="0.74803149606299213" bottom="0.74803149606299213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/>
  </sheetViews>
  <sheetFormatPr defaultColWidth="12.6640625" defaultRowHeight="15" customHeight="1"/>
  <cols>
    <col min="1" max="1" width="5.44140625" customWidth="1"/>
    <col min="2" max="2" width="6.44140625" customWidth="1"/>
    <col min="3" max="3" width="12.21875" customWidth="1"/>
    <col min="4" max="4" width="8.44140625" customWidth="1"/>
    <col min="5" max="5" width="19.44140625" customWidth="1"/>
    <col min="6" max="6" width="11.6640625" customWidth="1"/>
    <col min="7" max="7" width="22.44140625" customWidth="1"/>
    <col min="8" max="8" width="14.44140625" customWidth="1"/>
    <col min="9" max="9" width="15.109375" customWidth="1"/>
    <col min="10" max="10" width="16.109375" customWidth="1"/>
    <col min="11" max="11" width="13.77734375" customWidth="1"/>
    <col min="12" max="12" width="26" customWidth="1"/>
    <col min="13" max="13" width="24.21875" customWidth="1"/>
    <col min="14" max="14" width="5" customWidth="1"/>
    <col min="15" max="26" width="8.77734375" customWidth="1"/>
  </cols>
  <sheetData>
    <row r="1" spans="1:14" ht="12.75" customHeight="1">
      <c r="A1" s="33" t="s">
        <v>961</v>
      </c>
      <c r="B1" s="34"/>
      <c r="C1" s="34"/>
      <c r="D1" s="34"/>
      <c r="E1" s="34"/>
      <c r="F1" s="34"/>
      <c r="G1" s="34"/>
      <c r="H1" s="34"/>
    </row>
    <row r="2" spans="1:14" ht="28.8">
      <c r="A2" s="17" t="s">
        <v>0</v>
      </c>
      <c r="B2" s="17" t="s">
        <v>1</v>
      </c>
      <c r="C2" s="17" t="s">
        <v>2</v>
      </c>
      <c r="D2" s="17" t="s">
        <v>3</v>
      </c>
      <c r="E2" s="17" t="s">
        <v>943</v>
      </c>
      <c r="F2" s="18" t="s">
        <v>944</v>
      </c>
      <c r="G2" s="18" t="s">
        <v>945</v>
      </c>
      <c r="H2" s="18" t="s">
        <v>13</v>
      </c>
      <c r="I2" s="20" t="s">
        <v>946</v>
      </c>
      <c r="J2" s="20" t="s">
        <v>947</v>
      </c>
      <c r="K2" s="20" t="s">
        <v>948</v>
      </c>
      <c r="L2" s="17" t="s">
        <v>17</v>
      </c>
      <c r="M2" s="17" t="s">
        <v>19</v>
      </c>
      <c r="N2" s="17" t="s">
        <v>18</v>
      </c>
    </row>
    <row r="3" spans="1:14" ht="24.75" customHeight="1">
      <c r="A3" s="3">
        <v>1</v>
      </c>
      <c r="B3" s="4" t="s">
        <v>745</v>
      </c>
      <c r="C3" s="4" t="s">
        <v>453</v>
      </c>
      <c r="D3" s="4" t="s">
        <v>746</v>
      </c>
      <c r="E3" s="4"/>
      <c r="F3" s="4"/>
      <c r="G3" s="4"/>
      <c r="H3" s="4"/>
      <c r="I3" s="6">
        <v>2</v>
      </c>
      <c r="J3" s="6">
        <v>200</v>
      </c>
      <c r="K3" s="6">
        <v>7</v>
      </c>
      <c r="L3" s="4" t="s">
        <v>747</v>
      </c>
      <c r="M3" s="4" t="s">
        <v>748</v>
      </c>
      <c r="N3" s="3">
        <v>455</v>
      </c>
    </row>
    <row r="4" spans="1:14" ht="24.75" customHeight="1">
      <c r="A4" s="3">
        <v>2</v>
      </c>
      <c r="B4" s="4" t="s">
        <v>745</v>
      </c>
      <c r="C4" s="4" t="s">
        <v>453</v>
      </c>
      <c r="D4" s="4" t="s">
        <v>751</v>
      </c>
      <c r="E4" s="4"/>
      <c r="F4" s="4"/>
      <c r="G4" s="4"/>
      <c r="H4" s="4"/>
      <c r="I4" s="6">
        <v>3</v>
      </c>
      <c r="J4" s="6">
        <v>200</v>
      </c>
      <c r="K4" s="6">
        <v>7</v>
      </c>
      <c r="L4" s="4" t="s">
        <v>752</v>
      </c>
      <c r="M4" s="4" t="s">
        <v>753</v>
      </c>
      <c r="N4" s="3">
        <v>850</v>
      </c>
    </row>
    <row r="5" spans="1:14" ht="24.75" customHeight="1">
      <c r="A5" s="3">
        <v>3</v>
      </c>
      <c r="B5" s="4" t="s">
        <v>745</v>
      </c>
      <c r="C5" s="4" t="s">
        <v>453</v>
      </c>
      <c r="D5" s="4" t="s">
        <v>754</v>
      </c>
      <c r="E5" s="4"/>
      <c r="F5" s="4"/>
      <c r="G5" s="4"/>
      <c r="H5" s="4"/>
      <c r="I5" s="6">
        <v>3</v>
      </c>
      <c r="J5" s="6">
        <v>200</v>
      </c>
      <c r="K5" s="6">
        <v>7</v>
      </c>
      <c r="L5" s="4" t="s">
        <v>755</v>
      </c>
      <c r="M5" s="4" t="s">
        <v>753</v>
      </c>
      <c r="N5" s="3">
        <v>850</v>
      </c>
    </row>
    <row r="6" spans="1:14" ht="24.75" customHeight="1">
      <c r="A6" s="3">
        <v>4</v>
      </c>
      <c r="B6" s="4" t="s">
        <v>745</v>
      </c>
      <c r="C6" s="4" t="s">
        <v>453</v>
      </c>
      <c r="D6" s="4" t="s">
        <v>756</v>
      </c>
      <c r="E6" s="4"/>
      <c r="F6" s="4"/>
      <c r="G6" s="4"/>
      <c r="H6" s="4"/>
      <c r="I6" s="6">
        <v>3</v>
      </c>
      <c r="J6" s="6">
        <v>200</v>
      </c>
      <c r="K6" s="6">
        <v>7</v>
      </c>
      <c r="L6" s="4" t="s">
        <v>757</v>
      </c>
      <c r="M6" s="4" t="s">
        <v>753</v>
      </c>
      <c r="N6" s="3">
        <v>850</v>
      </c>
    </row>
    <row r="7" spans="1:14" ht="24.75" customHeight="1">
      <c r="A7" s="3">
        <v>5</v>
      </c>
      <c r="B7" s="4" t="s">
        <v>745</v>
      </c>
      <c r="C7" s="4" t="s">
        <v>468</v>
      </c>
      <c r="D7" s="4" t="s">
        <v>758</v>
      </c>
      <c r="E7" s="4"/>
      <c r="F7" s="4"/>
      <c r="G7" s="4"/>
      <c r="H7" s="4"/>
      <c r="I7" s="6">
        <v>2</v>
      </c>
      <c r="J7" s="6">
        <v>200</v>
      </c>
      <c r="K7" s="6">
        <v>7</v>
      </c>
      <c r="L7" s="4" t="s">
        <v>759</v>
      </c>
      <c r="M7" s="4" t="s">
        <v>748</v>
      </c>
      <c r="N7" s="3">
        <v>455</v>
      </c>
    </row>
    <row r="8" spans="1:14" ht="24.75" customHeight="1">
      <c r="A8" s="3">
        <v>6</v>
      </c>
      <c r="B8" s="4" t="s">
        <v>745</v>
      </c>
      <c r="C8" s="4" t="s">
        <v>468</v>
      </c>
      <c r="D8" s="4" t="s">
        <v>760</v>
      </c>
      <c r="E8" s="4"/>
      <c r="F8" s="4"/>
      <c r="G8" s="4"/>
      <c r="H8" s="4"/>
      <c r="I8" s="6">
        <v>2</v>
      </c>
      <c r="J8" s="6">
        <v>200</v>
      </c>
      <c r="K8" s="6">
        <v>7</v>
      </c>
      <c r="L8" s="4" t="s">
        <v>647</v>
      </c>
      <c r="M8" s="4" t="s">
        <v>750</v>
      </c>
      <c r="N8" s="3">
        <v>595</v>
      </c>
    </row>
    <row r="9" spans="1:14" ht="24.75" customHeight="1">
      <c r="A9" s="3">
        <v>7</v>
      </c>
      <c r="B9" s="4" t="s">
        <v>745</v>
      </c>
      <c r="C9" s="4" t="s">
        <v>468</v>
      </c>
      <c r="D9" s="4" t="s">
        <v>761</v>
      </c>
      <c r="E9" s="4"/>
      <c r="F9" s="4"/>
      <c r="G9" s="4"/>
      <c r="H9" s="4"/>
      <c r="I9" s="6">
        <v>3</v>
      </c>
      <c r="J9" s="6">
        <v>200</v>
      </c>
      <c r="K9" s="6">
        <v>7</v>
      </c>
      <c r="L9" s="4" t="s">
        <v>762</v>
      </c>
      <c r="M9" s="4" t="s">
        <v>753</v>
      </c>
      <c r="N9" s="3">
        <v>850</v>
      </c>
    </row>
    <row r="10" spans="1:14" ht="24.75" customHeight="1">
      <c r="A10" s="3">
        <v>8</v>
      </c>
      <c r="B10" s="4" t="s">
        <v>745</v>
      </c>
      <c r="C10" s="4" t="s">
        <v>468</v>
      </c>
      <c r="D10" s="4" t="s">
        <v>763</v>
      </c>
      <c r="E10" s="4"/>
      <c r="F10" s="4"/>
      <c r="G10" s="4"/>
      <c r="H10" s="4"/>
      <c r="I10" s="6">
        <v>3</v>
      </c>
      <c r="J10" s="6">
        <v>200</v>
      </c>
      <c r="K10" s="6">
        <v>7</v>
      </c>
      <c r="L10" s="4" t="s">
        <v>764</v>
      </c>
      <c r="M10" s="4" t="s">
        <v>753</v>
      </c>
      <c r="N10" s="3">
        <v>850</v>
      </c>
    </row>
    <row r="11" spans="1:14" ht="24.75" customHeight="1">
      <c r="A11" s="3">
        <v>9</v>
      </c>
      <c r="B11" s="4" t="s">
        <v>745</v>
      </c>
      <c r="C11" s="4" t="s">
        <v>468</v>
      </c>
      <c r="D11" s="4" t="s">
        <v>767</v>
      </c>
      <c r="E11" s="4"/>
      <c r="F11" s="4"/>
      <c r="G11" s="4"/>
      <c r="H11" s="4"/>
      <c r="I11" s="6">
        <v>3</v>
      </c>
      <c r="J11" s="6">
        <v>200</v>
      </c>
      <c r="K11" s="6">
        <v>7</v>
      </c>
      <c r="L11" s="4" t="s">
        <v>768</v>
      </c>
      <c r="M11" s="4" t="s">
        <v>753</v>
      </c>
      <c r="N11" s="3">
        <v>850</v>
      </c>
    </row>
    <row r="12" spans="1:14" ht="24.75" customHeight="1">
      <c r="A12" s="3">
        <v>10</v>
      </c>
      <c r="B12" s="4" t="s">
        <v>745</v>
      </c>
      <c r="C12" s="4" t="s">
        <v>468</v>
      </c>
      <c r="D12" s="4" t="s">
        <v>769</v>
      </c>
      <c r="E12" s="4"/>
      <c r="F12" s="4"/>
      <c r="G12" s="4"/>
      <c r="H12" s="4"/>
      <c r="I12" s="6">
        <v>3</v>
      </c>
      <c r="J12" s="6">
        <v>200</v>
      </c>
      <c r="K12" s="6">
        <v>7</v>
      </c>
      <c r="L12" s="4" t="s">
        <v>770</v>
      </c>
      <c r="M12" s="4" t="s">
        <v>753</v>
      </c>
      <c r="N12" s="3">
        <v>850</v>
      </c>
    </row>
    <row r="13" spans="1:14" ht="24.75" customHeight="1">
      <c r="A13" s="3">
        <v>11</v>
      </c>
      <c r="B13" s="4" t="s">
        <v>745</v>
      </c>
      <c r="C13" s="4" t="s">
        <v>468</v>
      </c>
      <c r="D13" s="4" t="s">
        <v>771</v>
      </c>
      <c r="E13" s="4"/>
      <c r="F13" s="4"/>
      <c r="G13" s="4"/>
      <c r="H13" s="4"/>
      <c r="I13" s="6">
        <v>3</v>
      </c>
      <c r="J13" s="6">
        <v>200</v>
      </c>
      <c r="K13" s="6">
        <v>7</v>
      </c>
      <c r="L13" s="4" t="s">
        <v>772</v>
      </c>
      <c r="M13" s="4" t="s">
        <v>753</v>
      </c>
      <c r="N13" s="3">
        <v>850</v>
      </c>
    </row>
    <row r="14" spans="1:14" ht="24.75" customHeight="1">
      <c r="A14" s="3">
        <v>12</v>
      </c>
      <c r="B14" s="4" t="s">
        <v>745</v>
      </c>
      <c r="C14" s="4" t="s">
        <v>483</v>
      </c>
      <c r="D14" s="4" t="s">
        <v>774</v>
      </c>
      <c r="E14" s="4"/>
      <c r="F14" s="4"/>
      <c r="G14" s="4"/>
      <c r="H14" s="4"/>
      <c r="I14" s="6">
        <v>2</v>
      </c>
      <c r="J14" s="6">
        <v>200</v>
      </c>
      <c r="K14" s="6">
        <v>7</v>
      </c>
      <c r="L14" s="4" t="s">
        <v>775</v>
      </c>
      <c r="M14" s="4" t="s">
        <v>750</v>
      </c>
      <c r="N14" s="3">
        <v>595</v>
      </c>
    </row>
    <row r="15" spans="1:14" ht="24.75" customHeight="1">
      <c r="A15" s="3">
        <v>13</v>
      </c>
      <c r="B15" s="4" t="s">
        <v>745</v>
      </c>
      <c r="C15" s="4" t="s">
        <v>483</v>
      </c>
      <c r="D15" s="4" t="s">
        <v>776</v>
      </c>
      <c r="E15" s="4"/>
      <c r="F15" s="4"/>
      <c r="G15" s="4"/>
      <c r="H15" s="4"/>
      <c r="I15" s="6">
        <v>3</v>
      </c>
      <c r="J15" s="6">
        <v>200</v>
      </c>
      <c r="K15" s="6">
        <v>7</v>
      </c>
      <c r="L15" s="4" t="s">
        <v>777</v>
      </c>
      <c r="M15" s="4" t="s">
        <v>753</v>
      </c>
      <c r="N15" s="3">
        <v>850</v>
      </c>
    </row>
    <row r="16" spans="1:14" ht="24.75" customHeight="1">
      <c r="A16" s="3">
        <v>14</v>
      </c>
      <c r="B16" s="4" t="s">
        <v>745</v>
      </c>
      <c r="C16" s="4" t="s">
        <v>483</v>
      </c>
      <c r="D16" s="4" t="s">
        <v>778</v>
      </c>
      <c r="E16" s="4"/>
      <c r="F16" s="4"/>
      <c r="G16" s="4"/>
      <c r="H16" s="4"/>
      <c r="I16" s="6">
        <v>3</v>
      </c>
      <c r="J16" s="6">
        <v>200</v>
      </c>
      <c r="K16" s="6">
        <v>7</v>
      </c>
      <c r="L16" s="4" t="s">
        <v>779</v>
      </c>
      <c r="M16" s="4" t="s">
        <v>753</v>
      </c>
      <c r="N16" s="3">
        <v>850</v>
      </c>
    </row>
    <row r="17" spans="1:14" ht="24.75" customHeight="1">
      <c r="A17" s="3">
        <v>15</v>
      </c>
      <c r="B17" s="4" t="s">
        <v>745</v>
      </c>
      <c r="C17" s="4" t="s">
        <v>483</v>
      </c>
      <c r="D17" s="4" t="s">
        <v>962</v>
      </c>
      <c r="E17" s="4"/>
      <c r="F17" s="4"/>
      <c r="G17" s="4"/>
      <c r="H17" s="4"/>
      <c r="I17" s="6">
        <v>3</v>
      </c>
      <c r="J17" s="6">
        <v>200</v>
      </c>
      <c r="K17" s="6">
        <v>7</v>
      </c>
      <c r="L17" s="4" t="s">
        <v>782</v>
      </c>
      <c r="M17" s="4" t="s">
        <v>753</v>
      </c>
      <c r="N17" s="3">
        <v>850</v>
      </c>
    </row>
    <row r="18" spans="1:14" ht="24.75" customHeight="1">
      <c r="A18" s="3">
        <v>16</v>
      </c>
      <c r="B18" s="4" t="s">
        <v>745</v>
      </c>
      <c r="C18" s="4" t="s">
        <v>483</v>
      </c>
      <c r="D18" s="4" t="s">
        <v>783</v>
      </c>
      <c r="E18" s="4"/>
      <c r="F18" s="4"/>
      <c r="G18" s="4"/>
      <c r="H18" s="4"/>
      <c r="I18" s="6">
        <v>3</v>
      </c>
      <c r="J18" s="6">
        <v>200</v>
      </c>
      <c r="K18" s="6">
        <v>7</v>
      </c>
      <c r="L18" s="4" t="s">
        <v>784</v>
      </c>
      <c r="M18" s="4" t="s">
        <v>753</v>
      </c>
      <c r="N18" s="3">
        <v>850</v>
      </c>
    </row>
    <row r="19" spans="1:14" ht="24.75" customHeight="1">
      <c r="A19" s="3">
        <v>17</v>
      </c>
      <c r="B19" s="4" t="s">
        <v>745</v>
      </c>
      <c r="C19" s="4" t="s">
        <v>483</v>
      </c>
      <c r="D19" s="4" t="s">
        <v>785</v>
      </c>
      <c r="E19" s="4"/>
      <c r="F19" s="4"/>
      <c r="G19" s="4"/>
      <c r="H19" s="4"/>
      <c r="I19" s="6">
        <v>3</v>
      </c>
      <c r="J19" s="6">
        <v>200</v>
      </c>
      <c r="K19" s="6">
        <v>7</v>
      </c>
      <c r="L19" s="4" t="s">
        <v>786</v>
      </c>
      <c r="M19" s="4" t="s">
        <v>753</v>
      </c>
      <c r="N19" s="3">
        <v>850</v>
      </c>
    </row>
    <row r="20" spans="1:14" ht="24.75" customHeight="1">
      <c r="A20" s="3">
        <v>18</v>
      </c>
      <c r="B20" s="4" t="s">
        <v>745</v>
      </c>
      <c r="C20" s="4" t="s">
        <v>499</v>
      </c>
      <c r="D20" s="4" t="s">
        <v>788</v>
      </c>
      <c r="E20" s="4"/>
      <c r="F20" s="4"/>
      <c r="G20" s="4"/>
      <c r="H20" s="4"/>
      <c r="I20" s="6">
        <v>2</v>
      </c>
      <c r="J20" s="6">
        <v>200</v>
      </c>
      <c r="K20" s="6">
        <v>7</v>
      </c>
      <c r="L20" s="4" t="s">
        <v>789</v>
      </c>
      <c r="M20" s="4" t="s">
        <v>750</v>
      </c>
      <c r="N20" s="3">
        <v>595</v>
      </c>
    </row>
    <row r="21" spans="1:14" ht="24.75" customHeight="1">
      <c r="A21" s="3">
        <v>19</v>
      </c>
      <c r="B21" s="4" t="s">
        <v>745</v>
      </c>
      <c r="C21" s="4" t="s">
        <v>499</v>
      </c>
      <c r="D21" s="4" t="s">
        <v>791</v>
      </c>
      <c r="E21" s="4"/>
      <c r="F21" s="4"/>
      <c r="G21" s="4"/>
      <c r="H21" s="4"/>
      <c r="I21" s="6">
        <v>3</v>
      </c>
      <c r="J21" s="6">
        <v>200</v>
      </c>
      <c r="K21" s="6">
        <v>7</v>
      </c>
      <c r="L21" s="4" t="s">
        <v>792</v>
      </c>
      <c r="M21" s="4" t="s">
        <v>753</v>
      </c>
      <c r="N21" s="3">
        <v>850</v>
      </c>
    </row>
    <row r="22" spans="1:14" ht="24.75" customHeight="1">
      <c r="A22" s="3">
        <v>20</v>
      </c>
      <c r="B22" s="4" t="s">
        <v>745</v>
      </c>
      <c r="C22" s="4" t="s">
        <v>499</v>
      </c>
      <c r="D22" s="4" t="s">
        <v>793</v>
      </c>
      <c r="E22" s="4"/>
      <c r="F22" s="4"/>
      <c r="G22" s="4"/>
      <c r="H22" s="4"/>
      <c r="I22" s="6">
        <v>4</v>
      </c>
      <c r="J22" s="6">
        <v>200</v>
      </c>
      <c r="K22" s="6">
        <v>7</v>
      </c>
      <c r="L22" s="4" t="s">
        <v>794</v>
      </c>
      <c r="M22" s="4" t="s">
        <v>766</v>
      </c>
      <c r="N22" s="3">
        <v>1100</v>
      </c>
    </row>
    <row r="23" spans="1:14" ht="24.75" customHeight="1">
      <c r="A23" s="3">
        <v>21</v>
      </c>
      <c r="B23" s="4" t="s">
        <v>745</v>
      </c>
      <c r="C23" s="4" t="s">
        <v>499</v>
      </c>
      <c r="D23" s="4" t="s">
        <v>795</v>
      </c>
      <c r="E23" s="4"/>
      <c r="F23" s="4"/>
      <c r="G23" s="4"/>
      <c r="H23" s="4"/>
      <c r="I23" s="6">
        <v>3</v>
      </c>
      <c r="J23" s="6">
        <v>200</v>
      </c>
      <c r="K23" s="6">
        <v>7</v>
      </c>
      <c r="L23" s="4" t="s">
        <v>796</v>
      </c>
      <c r="M23" s="4" t="s">
        <v>753</v>
      </c>
      <c r="N23" s="3">
        <v>850</v>
      </c>
    </row>
    <row r="24" spans="1:14" ht="24.75" customHeight="1">
      <c r="A24" s="3">
        <v>22</v>
      </c>
      <c r="B24" s="4" t="s">
        <v>745</v>
      </c>
      <c r="C24" s="4" t="s">
        <v>499</v>
      </c>
      <c r="D24" s="4" t="s">
        <v>797</v>
      </c>
      <c r="E24" s="4"/>
      <c r="F24" s="4"/>
      <c r="G24" s="4"/>
      <c r="H24" s="4"/>
      <c r="I24" s="6">
        <v>3</v>
      </c>
      <c r="J24" s="6">
        <v>200</v>
      </c>
      <c r="K24" s="6">
        <v>7</v>
      </c>
      <c r="L24" s="4" t="s">
        <v>798</v>
      </c>
      <c r="M24" s="4" t="s">
        <v>753</v>
      </c>
      <c r="N24" s="3">
        <v>850</v>
      </c>
    </row>
    <row r="25" spans="1:14" ht="24.75" customHeight="1">
      <c r="A25" s="3">
        <v>23</v>
      </c>
      <c r="B25" s="4" t="s">
        <v>745</v>
      </c>
      <c r="C25" s="4" t="s">
        <v>499</v>
      </c>
      <c r="D25" s="4" t="s">
        <v>799</v>
      </c>
      <c r="E25" s="4"/>
      <c r="F25" s="4"/>
      <c r="G25" s="4"/>
      <c r="H25" s="4"/>
      <c r="I25" s="6">
        <v>3</v>
      </c>
      <c r="J25" s="6">
        <v>200</v>
      </c>
      <c r="K25" s="6">
        <v>7</v>
      </c>
      <c r="L25" s="4" t="s">
        <v>800</v>
      </c>
      <c r="M25" s="4" t="s">
        <v>753</v>
      </c>
      <c r="N25" s="3">
        <v>850</v>
      </c>
    </row>
    <row r="26" spans="1:14" ht="24.75" customHeight="1">
      <c r="A26" s="3">
        <v>24</v>
      </c>
      <c r="B26" s="4" t="s">
        <v>745</v>
      </c>
      <c r="C26" s="4" t="s">
        <v>516</v>
      </c>
      <c r="D26" s="4" t="s">
        <v>801</v>
      </c>
      <c r="E26" s="4"/>
      <c r="F26" s="4"/>
      <c r="G26" s="4"/>
      <c r="H26" s="4"/>
      <c r="I26" s="6">
        <v>2</v>
      </c>
      <c r="J26" s="6">
        <v>200</v>
      </c>
      <c r="K26" s="6">
        <v>7</v>
      </c>
      <c r="L26" s="4" t="s">
        <v>802</v>
      </c>
      <c r="M26" s="4" t="s">
        <v>748</v>
      </c>
      <c r="N26" s="3">
        <v>455</v>
      </c>
    </row>
    <row r="27" spans="1:14" ht="24.75" customHeight="1">
      <c r="A27" s="3">
        <v>25</v>
      </c>
      <c r="B27" s="4" t="s">
        <v>745</v>
      </c>
      <c r="C27" s="4" t="s">
        <v>516</v>
      </c>
      <c r="D27" s="4" t="s">
        <v>803</v>
      </c>
      <c r="E27" s="4"/>
      <c r="F27" s="4"/>
      <c r="G27" s="4"/>
      <c r="H27" s="4"/>
      <c r="I27" s="6">
        <v>2</v>
      </c>
      <c r="J27" s="6">
        <v>200</v>
      </c>
      <c r="K27" s="6">
        <v>7</v>
      </c>
      <c r="L27" s="4" t="s">
        <v>804</v>
      </c>
      <c r="M27" s="4" t="s">
        <v>750</v>
      </c>
      <c r="N27" s="3">
        <v>595</v>
      </c>
    </row>
    <row r="28" spans="1:14" ht="24.75" customHeight="1">
      <c r="A28" s="3">
        <v>26</v>
      </c>
      <c r="B28" s="4" t="s">
        <v>745</v>
      </c>
      <c r="C28" s="4" t="s">
        <v>516</v>
      </c>
      <c r="D28" s="4" t="s">
        <v>805</v>
      </c>
      <c r="E28" s="4"/>
      <c r="F28" s="4"/>
      <c r="G28" s="4"/>
      <c r="H28" s="4"/>
      <c r="I28" s="6">
        <v>3</v>
      </c>
      <c r="J28" s="6">
        <v>200</v>
      </c>
      <c r="K28" s="6">
        <v>7</v>
      </c>
      <c r="L28" s="4" t="s">
        <v>806</v>
      </c>
      <c r="M28" s="4" t="s">
        <v>753</v>
      </c>
      <c r="N28" s="3">
        <v>850</v>
      </c>
    </row>
    <row r="29" spans="1:14" ht="24.75" customHeight="1">
      <c r="A29" s="3">
        <v>27</v>
      </c>
      <c r="B29" s="4" t="s">
        <v>745</v>
      </c>
      <c r="C29" s="4" t="s">
        <v>516</v>
      </c>
      <c r="D29" s="4" t="s">
        <v>807</v>
      </c>
      <c r="E29" s="4"/>
      <c r="F29" s="4"/>
      <c r="G29" s="4"/>
      <c r="H29" s="4"/>
      <c r="I29" s="6">
        <v>3</v>
      </c>
      <c r="J29" s="6">
        <v>200</v>
      </c>
      <c r="K29" s="6">
        <v>7</v>
      </c>
      <c r="L29" s="4" t="s">
        <v>808</v>
      </c>
      <c r="M29" s="4" t="s">
        <v>753</v>
      </c>
      <c r="N29" s="3">
        <v>850</v>
      </c>
    </row>
    <row r="30" spans="1:14" ht="24.75" customHeight="1">
      <c r="A30" s="3">
        <v>28</v>
      </c>
      <c r="B30" s="4" t="s">
        <v>745</v>
      </c>
      <c r="C30" s="4" t="s">
        <v>516</v>
      </c>
      <c r="D30" s="4" t="s">
        <v>809</v>
      </c>
      <c r="E30" s="4"/>
      <c r="F30" s="4"/>
      <c r="G30" s="4"/>
      <c r="H30" s="4"/>
      <c r="I30" s="6">
        <v>4</v>
      </c>
      <c r="J30" s="6">
        <v>200</v>
      </c>
      <c r="K30" s="6">
        <v>7</v>
      </c>
      <c r="L30" s="4" t="s">
        <v>810</v>
      </c>
      <c r="M30" s="4" t="s">
        <v>766</v>
      </c>
      <c r="N30" s="3">
        <v>1100</v>
      </c>
    </row>
    <row r="31" spans="1:14" ht="24.75" customHeight="1">
      <c r="A31" s="3">
        <v>29</v>
      </c>
      <c r="B31" s="4" t="s">
        <v>745</v>
      </c>
      <c r="C31" s="4" t="s">
        <v>516</v>
      </c>
      <c r="D31" s="4" t="s">
        <v>811</v>
      </c>
      <c r="E31" s="4"/>
      <c r="F31" s="4"/>
      <c r="G31" s="4"/>
      <c r="H31" s="4"/>
      <c r="I31" s="6">
        <v>3</v>
      </c>
      <c r="J31" s="6">
        <v>200</v>
      </c>
      <c r="K31" s="6">
        <v>7</v>
      </c>
      <c r="L31" s="4" t="s">
        <v>812</v>
      </c>
      <c r="M31" s="4" t="s">
        <v>753</v>
      </c>
      <c r="N31" s="3">
        <v>850</v>
      </c>
    </row>
    <row r="32" spans="1:14" ht="24.75" customHeight="1">
      <c r="A32" s="3">
        <v>30</v>
      </c>
      <c r="B32" s="4" t="s">
        <v>745</v>
      </c>
      <c r="C32" s="4" t="s">
        <v>516</v>
      </c>
      <c r="D32" s="4" t="s">
        <v>813</v>
      </c>
      <c r="E32" s="4"/>
      <c r="F32" s="4"/>
      <c r="G32" s="4"/>
      <c r="H32" s="4"/>
      <c r="I32" s="6">
        <v>3</v>
      </c>
      <c r="J32" s="6">
        <v>200</v>
      </c>
      <c r="K32" s="6">
        <v>7</v>
      </c>
      <c r="L32" s="4" t="s">
        <v>814</v>
      </c>
      <c r="M32" s="4" t="s">
        <v>753</v>
      </c>
      <c r="N32" s="3">
        <v>850</v>
      </c>
    </row>
    <row r="33" spans="1:14" ht="24.75" customHeight="1">
      <c r="A33" s="3">
        <v>31</v>
      </c>
      <c r="B33" s="4" t="s">
        <v>745</v>
      </c>
      <c r="C33" s="4" t="s">
        <v>516</v>
      </c>
      <c r="D33" s="4" t="s">
        <v>815</v>
      </c>
      <c r="E33" s="4"/>
      <c r="F33" s="4"/>
      <c r="G33" s="4"/>
      <c r="H33" s="4"/>
      <c r="I33" s="6">
        <v>3</v>
      </c>
      <c r="J33" s="6">
        <v>200</v>
      </c>
      <c r="K33" s="6">
        <v>7</v>
      </c>
      <c r="L33" s="4" t="s">
        <v>816</v>
      </c>
      <c r="M33" s="4" t="s">
        <v>753</v>
      </c>
      <c r="N33" s="3">
        <v>850</v>
      </c>
    </row>
    <row r="34" spans="1:14" ht="24.75" customHeight="1">
      <c r="A34" s="3">
        <v>32</v>
      </c>
      <c r="B34" s="4" t="s">
        <v>745</v>
      </c>
      <c r="C34" s="4" t="s">
        <v>533</v>
      </c>
      <c r="D34" s="4" t="s">
        <v>817</v>
      </c>
      <c r="E34" s="4"/>
      <c r="F34" s="4"/>
      <c r="G34" s="4"/>
      <c r="H34" s="4"/>
      <c r="I34" s="6">
        <v>2</v>
      </c>
      <c r="J34" s="6">
        <v>200</v>
      </c>
      <c r="K34" s="6">
        <v>7</v>
      </c>
      <c r="L34" s="4" t="s">
        <v>818</v>
      </c>
      <c r="M34" s="4" t="s">
        <v>748</v>
      </c>
      <c r="N34" s="3">
        <v>455</v>
      </c>
    </row>
    <row r="35" spans="1:14" ht="24.75" customHeight="1">
      <c r="A35" s="3">
        <v>33</v>
      </c>
      <c r="B35" s="4" t="s">
        <v>745</v>
      </c>
      <c r="C35" s="4" t="s">
        <v>533</v>
      </c>
      <c r="D35" s="4" t="s">
        <v>819</v>
      </c>
      <c r="E35" s="4"/>
      <c r="F35" s="4"/>
      <c r="G35" s="4"/>
      <c r="H35" s="4"/>
      <c r="I35" s="6">
        <v>2</v>
      </c>
      <c r="J35" s="6">
        <v>200</v>
      </c>
      <c r="K35" s="6">
        <v>7</v>
      </c>
      <c r="L35" s="4" t="s">
        <v>820</v>
      </c>
      <c r="M35" s="4" t="s">
        <v>750</v>
      </c>
      <c r="N35" s="3">
        <v>595</v>
      </c>
    </row>
    <row r="36" spans="1:14" ht="24.75" customHeight="1">
      <c r="A36" s="3">
        <v>34</v>
      </c>
      <c r="B36" s="4" t="s">
        <v>745</v>
      </c>
      <c r="C36" s="4" t="s">
        <v>533</v>
      </c>
      <c r="D36" s="4" t="s">
        <v>821</v>
      </c>
      <c r="E36" s="4"/>
      <c r="F36" s="4"/>
      <c r="G36" s="4"/>
      <c r="H36" s="4"/>
      <c r="I36" s="6">
        <v>3</v>
      </c>
      <c r="J36" s="6">
        <v>200</v>
      </c>
      <c r="K36" s="6">
        <v>7</v>
      </c>
      <c r="L36" s="4" t="s">
        <v>822</v>
      </c>
      <c r="M36" s="4" t="s">
        <v>753</v>
      </c>
      <c r="N36" s="3">
        <v>850</v>
      </c>
    </row>
    <row r="37" spans="1:14" ht="24.75" customHeight="1">
      <c r="A37" s="3">
        <v>35</v>
      </c>
      <c r="B37" s="4" t="s">
        <v>745</v>
      </c>
      <c r="C37" s="4" t="s">
        <v>533</v>
      </c>
      <c r="D37" s="4" t="s">
        <v>823</v>
      </c>
      <c r="E37" s="4"/>
      <c r="F37" s="4"/>
      <c r="G37" s="4"/>
      <c r="H37" s="4"/>
      <c r="I37" s="6">
        <v>3</v>
      </c>
      <c r="J37" s="6">
        <v>200</v>
      </c>
      <c r="K37" s="6">
        <v>7</v>
      </c>
      <c r="L37" s="4" t="s">
        <v>824</v>
      </c>
      <c r="M37" s="4" t="s">
        <v>753</v>
      </c>
      <c r="N37" s="3">
        <v>850</v>
      </c>
    </row>
    <row r="38" spans="1:14" ht="24.75" customHeight="1">
      <c r="A38" s="3">
        <v>36</v>
      </c>
      <c r="B38" s="4" t="s">
        <v>745</v>
      </c>
      <c r="C38" s="4" t="s">
        <v>533</v>
      </c>
      <c r="D38" s="4" t="s">
        <v>825</v>
      </c>
      <c r="E38" s="4"/>
      <c r="F38" s="4"/>
      <c r="G38" s="4"/>
      <c r="H38" s="4"/>
      <c r="I38" s="6">
        <v>4</v>
      </c>
      <c r="J38" s="6">
        <v>200</v>
      </c>
      <c r="K38" s="6">
        <v>7</v>
      </c>
      <c r="L38" s="4" t="s">
        <v>826</v>
      </c>
      <c r="M38" s="4" t="s">
        <v>766</v>
      </c>
      <c r="N38" s="3">
        <v>1100</v>
      </c>
    </row>
    <row r="39" spans="1:14" ht="24.75" customHeight="1">
      <c r="A39" s="3">
        <v>37</v>
      </c>
      <c r="B39" s="4" t="s">
        <v>745</v>
      </c>
      <c r="C39" s="4" t="s">
        <v>533</v>
      </c>
      <c r="D39" s="4" t="s">
        <v>827</v>
      </c>
      <c r="E39" s="4"/>
      <c r="F39" s="4"/>
      <c r="G39" s="4"/>
      <c r="H39" s="4"/>
      <c r="I39" s="6">
        <v>3</v>
      </c>
      <c r="J39" s="6">
        <v>200</v>
      </c>
      <c r="K39" s="6">
        <v>7</v>
      </c>
      <c r="L39" s="4" t="s">
        <v>828</v>
      </c>
      <c r="M39" s="4" t="s">
        <v>753</v>
      </c>
      <c r="N39" s="3">
        <v>850</v>
      </c>
    </row>
    <row r="40" spans="1:14" ht="24.75" customHeight="1">
      <c r="A40" s="3">
        <v>38</v>
      </c>
      <c r="B40" s="4" t="s">
        <v>745</v>
      </c>
      <c r="C40" s="4" t="s">
        <v>533</v>
      </c>
      <c r="D40" s="4" t="s">
        <v>829</v>
      </c>
      <c r="E40" s="4"/>
      <c r="F40" s="4"/>
      <c r="G40" s="4"/>
      <c r="H40" s="4"/>
      <c r="I40" s="6">
        <v>3</v>
      </c>
      <c r="J40" s="6">
        <v>200</v>
      </c>
      <c r="K40" s="6">
        <v>7</v>
      </c>
      <c r="L40" s="4" t="s">
        <v>830</v>
      </c>
      <c r="M40" s="4" t="s">
        <v>753</v>
      </c>
      <c r="N40" s="3">
        <v>850</v>
      </c>
    </row>
    <row r="41" spans="1:14" ht="24.75" customHeight="1">
      <c r="A41" s="3">
        <v>39</v>
      </c>
      <c r="B41" s="4" t="s">
        <v>745</v>
      </c>
      <c r="C41" s="4" t="s">
        <v>533</v>
      </c>
      <c r="D41" s="4" t="s">
        <v>831</v>
      </c>
      <c r="E41" s="4"/>
      <c r="F41" s="4"/>
      <c r="G41" s="4"/>
      <c r="H41" s="4"/>
      <c r="I41" s="6">
        <v>3</v>
      </c>
      <c r="J41" s="6">
        <v>200</v>
      </c>
      <c r="K41" s="6">
        <v>7</v>
      </c>
      <c r="L41" s="4" t="s">
        <v>832</v>
      </c>
      <c r="M41" s="4" t="s">
        <v>753</v>
      </c>
      <c r="N41" s="3">
        <v>850</v>
      </c>
    </row>
    <row r="42" spans="1:14" ht="24.75" customHeight="1">
      <c r="A42" s="3">
        <v>40</v>
      </c>
      <c r="B42" s="4" t="s">
        <v>745</v>
      </c>
      <c r="C42" s="4" t="s">
        <v>549</v>
      </c>
      <c r="D42" s="4" t="s">
        <v>835</v>
      </c>
      <c r="E42" s="4"/>
      <c r="F42" s="4"/>
      <c r="G42" s="4"/>
      <c r="H42" s="4"/>
      <c r="I42" s="6">
        <v>3</v>
      </c>
      <c r="J42" s="6">
        <v>200</v>
      </c>
      <c r="K42" s="6">
        <v>7</v>
      </c>
      <c r="L42" s="4" t="s">
        <v>836</v>
      </c>
      <c r="M42" s="4" t="s">
        <v>753</v>
      </c>
      <c r="N42" s="3">
        <v>850</v>
      </c>
    </row>
    <row r="43" spans="1:14" ht="24.75" customHeight="1">
      <c r="A43" s="3">
        <v>41</v>
      </c>
      <c r="B43" s="4" t="s">
        <v>745</v>
      </c>
      <c r="C43" s="4" t="s">
        <v>549</v>
      </c>
      <c r="D43" s="4" t="s">
        <v>837</v>
      </c>
      <c r="E43" s="4"/>
      <c r="F43" s="4"/>
      <c r="G43" s="4"/>
      <c r="H43" s="4"/>
      <c r="I43" s="6">
        <v>3</v>
      </c>
      <c r="J43" s="6">
        <v>200</v>
      </c>
      <c r="K43" s="6">
        <v>7</v>
      </c>
      <c r="L43" s="4" t="s">
        <v>838</v>
      </c>
      <c r="M43" s="4" t="s">
        <v>753</v>
      </c>
      <c r="N43" s="3">
        <v>850</v>
      </c>
    </row>
    <row r="44" spans="1:14" ht="24.75" customHeight="1">
      <c r="A44" s="3">
        <v>42</v>
      </c>
      <c r="B44" s="4" t="s">
        <v>745</v>
      </c>
      <c r="C44" s="4" t="s">
        <v>549</v>
      </c>
      <c r="D44" s="4" t="s">
        <v>839</v>
      </c>
      <c r="E44" s="4"/>
      <c r="F44" s="4"/>
      <c r="G44" s="4"/>
      <c r="H44" s="4"/>
      <c r="I44" s="6">
        <v>4</v>
      </c>
      <c r="J44" s="6">
        <v>200</v>
      </c>
      <c r="K44" s="6">
        <v>7</v>
      </c>
      <c r="L44" s="4" t="s">
        <v>840</v>
      </c>
      <c r="M44" s="4" t="s">
        <v>766</v>
      </c>
      <c r="N44" s="3">
        <v>1100</v>
      </c>
    </row>
    <row r="45" spans="1:14" ht="24.75" customHeight="1">
      <c r="A45" s="3">
        <v>43</v>
      </c>
      <c r="B45" s="4" t="s">
        <v>745</v>
      </c>
      <c r="C45" s="4" t="s">
        <v>549</v>
      </c>
      <c r="D45" s="4" t="s">
        <v>841</v>
      </c>
      <c r="E45" s="4"/>
      <c r="F45" s="4"/>
      <c r="G45" s="4"/>
      <c r="H45" s="4"/>
      <c r="I45" s="6">
        <v>3</v>
      </c>
      <c r="J45" s="6">
        <v>200</v>
      </c>
      <c r="K45" s="6">
        <v>7</v>
      </c>
      <c r="L45" s="4" t="s">
        <v>842</v>
      </c>
      <c r="M45" s="4" t="s">
        <v>753</v>
      </c>
      <c r="N45" s="3">
        <v>850</v>
      </c>
    </row>
    <row r="46" spans="1:14" ht="24.75" customHeight="1">
      <c r="A46" s="3">
        <v>44</v>
      </c>
      <c r="B46" s="4" t="s">
        <v>745</v>
      </c>
      <c r="C46" s="4" t="s">
        <v>549</v>
      </c>
      <c r="D46" s="4" t="s">
        <v>843</v>
      </c>
      <c r="E46" s="4"/>
      <c r="F46" s="4"/>
      <c r="G46" s="4"/>
      <c r="H46" s="4"/>
      <c r="I46" s="6">
        <v>3</v>
      </c>
      <c r="J46" s="6">
        <v>200</v>
      </c>
      <c r="K46" s="6">
        <v>7</v>
      </c>
      <c r="L46" s="4" t="s">
        <v>844</v>
      </c>
      <c r="M46" s="4" t="s">
        <v>753</v>
      </c>
      <c r="N46" s="3">
        <v>850</v>
      </c>
    </row>
    <row r="47" spans="1:14" ht="24.75" customHeight="1">
      <c r="A47" s="3">
        <v>45</v>
      </c>
      <c r="B47" s="4" t="s">
        <v>745</v>
      </c>
      <c r="C47" s="4" t="s">
        <v>549</v>
      </c>
      <c r="D47" s="4" t="s">
        <v>845</v>
      </c>
      <c r="E47" s="4"/>
      <c r="F47" s="4"/>
      <c r="G47" s="4"/>
      <c r="H47" s="4"/>
      <c r="I47" s="6">
        <v>3</v>
      </c>
      <c r="J47" s="6">
        <v>200</v>
      </c>
      <c r="K47" s="6">
        <v>7</v>
      </c>
      <c r="L47" s="4" t="s">
        <v>846</v>
      </c>
      <c r="M47" s="4" t="s">
        <v>753</v>
      </c>
      <c r="N47" s="3">
        <v>850</v>
      </c>
    </row>
    <row r="48" spans="1:14" ht="24.75" customHeight="1">
      <c r="A48" s="3">
        <v>46</v>
      </c>
      <c r="B48" s="4" t="s">
        <v>745</v>
      </c>
      <c r="C48" s="4" t="s">
        <v>847</v>
      </c>
      <c r="D48" s="4" t="s">
        <v>848</v>
      </c>
      <c r="E48" s="4"/>
      <c r="F48" s="4"/>
      <c r="G48" s="4"/>
      <c r="H48" s="4"/>
      <c r="I48" s="6">
        <v>2</v>
      </c>
      <c r="J48" s="6">
        <v>200</v>
      </c>
      <c r="K48" s="6">
        <v>7</v>
      </c>
      <c r="L48" s="4" t="s">
        <v>849</v>
      </c>
      <c r="M48" s="4" t="s">
        <v>748</v>
      </c>
      <c r="N48" s="3">
        <v>455</v>
      </c>
    </row>
    <row r="49" spans="1:14" ht="24.75" customHeight="1">
      <c r="A49" s="3">
        <v>47</v>
      </c>
      <c r="B49" s="4" t="s">
        <v>745</v>
      </c>
      <c r="C49" s="4" t="s">
        <v>847</v>
      </c>
      <c r="D49" s="4" t="s">
        <v>850</v>
      </c>
      <c r="E49" s="4"/>
      <c r="F49" s="4"/>
      <c r="G49" s="4"/>
      <c r="H49" s="4"/>
      <c r="I49" s="6">
        <v>2</v>
      </c>
      <c r="J49" s="6">
        <v>200</v>
      </c>
      <c r="K49" s="6">
        <v>7</v>
      </c>
      <c r="L49" s="4" t="s">
        <v>851</v>
      </c>
      <c r="M49" s="4" t="s">
        <v>750</v>
      </c>
      <c r="N49" s="3">
        <v>595</v>
      </c>
    </row>
    <row r="50" spans="1:14" ht="24.75" customHeight="1">
      <c r="A50" s="3">
        <v>48</v>
      </c>
      <c r="B50" s="4" t="s">
        <v>745</v>
      </c>
      <c r="C50" s="4" t="s">
        <v>847</v>
      </c>
      <c r="D50" s="4" t="s">
        <v>853</v>
      </c>
      <c r="E50" s="4"/>
      <c r="F50" s="4"/>
      <c r="G50" s="4"/>
      <c r="H50" s="4"/>
      <c r="I50" s="6">
        <v>3</v>
      </c>
      <c r="J50" s="6">
        <v>200</v>
      </c>
      <c r="K50" s="6">
        <v>7</v>
      </c>
      <c r="L50" s="4" t="s">
        <v>854</v>
      </c>
      <c r="M50" s="4" t="s">
        <v>753</v>
      </c>
      <c r="N50" s="3">
        <v>850</v>
      </c>
    </row>
    <row r="51" spans="1:14" ht="24.75" customHeight="1">
      <c r="A51" s="3">
        <v>49</v>
      </c>
      <c r="B51" s="4" t="s">
        <v>745</v>
      </c>
      <c r="C51" s="4" t="s">
        <v>847</v>
      </c>
      <c r="D51" s="4" t="s">
        <v>855</v>
      </c>
      <c r="E51" s="4"/>
      <c r="F51" s="4"/>
      <c r="G51" s="4"/>
      <c r="H51" s="4"/>
      <c r="I51" s="6">
        <v>4</v>
      </c>
      <c r="J51" s="6">
        <v>200</v>
      </c>
      <c r="K51" s="6">
        <v>7</v>
      </c>
      <c r="L51" s="4" t="s">
        <v>856</v>
      </c>
      <c r="M51" s="4" t="s">
        <v>766</v>
      </c>
      <c r="N51" s="3">
        <v>1100</v>
      </c>
    </row>
    <row r="52" spans="1:14" ht="24.75" customHeight="1">
      <c r="A52" s="3">
        <v>50</v>
      </c>
      <c r="B52" s="4" t="s">
        <v>745</v>
      </c>
      <c r="C52" s="4" t="s">
        <v>847</v>
      </c>
      <c r="D52" s="4" t="s">
        <v>857</v>
      </c>
      <c r="E52" s="4"/>
      <c r="F52" s="4"/>
      <c r="G52" s="4"/>
      <c r="H52" s="4"/>
      <c r="I52" s="6">
        <v>3</v>
      </c>
      <c r="J52" s="6">
        <v>200</v>
      </c>
      <c r="K52" s="6">
        <v>7</v>
      </c>
      <c r="L52" s="4" t="s">
        <v>858</v>
      </c>
      <c r="M52" s="4" t="s">
        <v>753</v>
      </c>
      <c r="N52" s="3">
        <v>850</v>
      </c>
    </row>
    <row r="53" spans="1:14" ht="24.75" customHeight="1">
      <c r="A53" s="3">
        <v>51</v>
      </c>
      <c r="B53" s="4" t="s">
        <v>745</v>
      </c>
      <c r="C53" s="4" t="s">
        <v>847</v>
      </c>
      <c r="D53" s="4" t="s">
        <v>859</v>
      </c>
      <c r="E53" s="4"/>
      <c r="F53" s="4"/>
      <c r="G53" s="4"/>
      <c r="H53" s="4"/>
      <c r="I53" s="6">
        <v>3</v>
      </c>
      <c r="J53" s="6">
        <v>200</v>
      </c>
      <c r="K53" s="6">
        <v>7</v>
      </c>
      <c r="L53" s="4" t="s">
        <v>860</v>
      </c>
      <c r="M53" s="4" t="s">
        <v>753</v>
      </c>
      <c r="N53" s="3">
        <v>850</v>
      </c>
    </row>
    <row r="54" spans="1:14" ht="24.75" customHeight="1">
      <c r="A54" s="3">
        <v>52</v>
      </c>
      <c r="B54" s="4" t="s">
        <v>745</v>
      </c>
      <c r="C54" s="4" t="s">
        <v>847</v>
      </c>
      <c r="D54" s="4" t="s">
        <v>861</v>
      </c>
      <c r="E54" s="4"/>
      <c r="F54" s="4"/>
      <c r="G54" s="4"/>
      <c r="H54" s="4"/>
      <c r="I54" s="6">
        <v>3</v>
      </c>
      <c r="J54" s="6">
        <v>200</v>
      </c>
      <c r="K54" s="6">
        <v>7</v>
      </c>
      <c r="L54" s="4" t="s">
        <v>862</v>
      </c>
      <c r="M54" s="4" t="s">
        <v>753</v>
      </c>
      <c r="N54" s="3">
        <v>850</v>
      </c>
    </row>
    <row r="55" spans="1:14" ht="24.75" customHeight="1">
      <c r="A55" s="3">
        <v>53</v>
      </c>
      <c r="B55" s="4" t="s">
        <v>745</v>
      </c>
      <c r="C55" s="4" t="s">
        <v>579</v>
      </c>
      <c r="D55" s="4" t="s">
        <v>863</v>
      </c>
      <c r="E55" s="4"/>
      <c r="F55" s="4"/>
      <c r="G55" s="4"/>
      <c r="H55" s="4"/>
      <c r="I55" s="6">
        <v>2</v>
      </c>
      <c r="J55" s="6">
        <v>200</v>
      </c>
      <c r="K55" s="6">
        <v>7</v>
      </c>
      <c r="L55" s="4" t="s">
        <v>864</v>
      </c>
      <c r="M55" s="4" t="s">
        <v>748</v>
      </c>
      <c r="N55" s="3">
        <v>455</v>
      </c>
    </row>
    <row r="56" spans="1:14" ht="24.75" customHeight="1">
      <c r="A56" s="3">
        <v>54</v>
      </c>
      <c r="B56" s="4" t="s">
        <v>745</v>
      </c>
      <c r="C56" s="4" t="s">
        <v>579</v>
      </c>
      <c r="D56" s="4" t="s">
        <v>866</v>
      </c>
      <c r="E56" s="4"/>
      <c r="F56" s="4"/>
      <c r="G56" s="4"/>
      <c r="H56" s="4"/>
      <c r="I56" s="6">
        <v>3</v>
      </c>
      <c r="J56" s="6">
        <v>200</v>
      </c>
      <c r="K56" s="6">
        <v>7</v>
      </c>
      <c r="L56" s="4" t="s">
        <v>867</v>
      </c>
      <c r="M56" s="4" t="s">
        <v>753</v>
      </c>
      <c r="N56" s="3">
        <v>850</v>
      </c>
    </row>
    <row r="57" spans="1:14" ht="24.75" customHeight="1">
      <c r="A57" s="3">
        <v>55</v>
      </c>
      <c r="B57" s="4" t="s">
        <v>745</v>
      </c>
      <c r="C57" s="4" t="s">
        <v>579</v>
      </c>
      <c r="D57" s="4" t="s">
        <v>868</v>
      </c>
      <c r="E57" s="4"/>
      <c r="F57" s="4"/>
      <c r="G57" s="4"/>
      <c r="H57" s="4"/>
      <c r="I57" s="6">
        <v>3</v>
      </c>
      <c r="J57" s="6">
        <v>200</v>
      </c>
      <c r="K57" s="6">
        <v>7</v>
      </c>
      <c r="L57" s="4" t="s">
        <v>869</v>
      </c>
      <c r="M57" s="4" t="s">
        <v>753</v>
      </c>
      <c r="N57" s="3">
        <v>850</v>
      </c>
    </row>
    <row r="58" spans="1:14" ht="24.75" customHeight="1">
      <c r="A58" s="3">
        <v>56</v>
      </c>
      <c r="B58" s="4" t="s">
        <v>745</v>
      </c>
      <c r="C58" s="4" t="s">
        <v>579</v>
      </c>
      <c r="D58" s="4" t="s">
        <v>871</v>
      </c>
      <c r="E58" s="4"/>
      <c r="F58" s="4"/>
      <c r="G58" s="4"/>
      <c r="H58" s="4"/>
      <c r="I58" s="6">
        <v>3</v>
      </c>
      <c r="J58" s="6">
        <v>200</v>
      </c>
      <c r="K58" s="6">
        <v>7</v>
      </c>
      <c r="L58" s="4" t="s">
        <v>872</v>
      </c>
      <c r="M58" s="4" t="s">
        <v>753</v>
      </c>
      <c r="N58" s="3">
        <v>850</v>
      </c>
    </row>
    <row r="59" spans="1:14" ht="24.75" customHeight="1">
      <c r="A59" s="3">
        <v>57</v>
      </c>
      <c r="B59" s="4" t="s">
        <v>745</v>
      </c>
      <c r="C59" s="4" t="s">
        <v>579</v>
      </c>
      <c r="D59" s="4" t="s">
        <v>873</v>
      </c>
      <c r="E59" s="4"/>
      <c r="F59" s="4"/>
      <c r="G59" s="4"/>
      <c r="H59" s="4"/>
      <c r="I59" s="6">
        <v>3</v>
      </c>
      <c r="J59" s="6">
        <v>200</v>
      </c>
      <c r="K59" s="6">
        <v>7</v>
      </c>
      <c r="L59" s="4" t="s">
        <v>874</v>
      </c>
      <c r="M59" s="4" t="s">
        <v>753</v>
      </c>
      <c r="N59" s="3">
        <v>850</v>
      </c>
    </row>
    <row r="60" spans="1:14" ht="24.75" customHeight="1">
      <c r="A60" s="3">
        <v>58</v>
      </c>
      <c r="B60" s="4" t="s">
        <v>745</v>
      </c>
      <c r="C60" s="4" t="s">
        <v>579</v>
      </c>
      <c r="D60" s="4" t="s">
        <v>875</v>
      </c>
      <c r="E60" s="4"/>
      <c r="F60" s="4"/>
      <c r="G60" s="4"/>
      <c r="H60" s="4"/>
      <c r="I60" s="6">
        <v>3</v>
      </c>
      <c r="J60" s="6">
        <v>200</v>
      </c>
      <c r="K60" s="6">
        <v>7</v>
      </c>
      <c r="L60" s="4" t="s">
        <v>876</v>
      </c>
      <c r="M60" s="4" t="s">
        <v>753</v>
      </c>
      <c r="N60" s="3">
        <v>850</v>
      </c>
    </row>
    <row r="61" spans="1:14" ht="24.75" customHeight="1">
      <c r="A61" s="3">
        <v>59</v>
      </c>
      <c r="B61" s="4" t="s">
        <v>745</v>
      </c>
      <c r="C61" s="4" t="s">
        <v>595</v>
      </c>
      <c r="D61" s="4" t="s">
        <v>878</v>
      </c>
      <c r="E61" s="4"/>
      <c r="F61" s="4"/>
      <c r="G61" s="4"/>
      <c r="H61" s="4"/>
      <c r="I61" s="6">
        <v>2</v>
      </c>
      <c r="J61" s="6">
        <v>200</v>
      </c>
      <c r="K61" s="6">
        <v>7</v>
      </c>
      <c r="L61" s="4" t="s">
        <v>879</v>
      </c>
      <c r="M61" s="4" t="s">
        <v>750</v>
      </c>
      <c r="N61" s="3">
        <v>595</v>
      </c>
    </row>
    <row r="62" spans="1:14" ht="24.75" customHeight="1">
      <c r="A62" s="3">
        <v>60</v>
      </c>
      <c r="B62" s="4" t="s">
        <v>745</v>
      </c>
      <c r="C62" s="4" t="s">
        <v>595</v>
      </c>
      <c r="D62" s="4" t="s">
        <v>880</v>
      </c>
      <c r="E62" s="4"/>
      <c r="F62" s="4"/>
      <c r="G62" s="4"/>
      <c r="H62" s="4"/>
      <c r="I62" s="6">
        <v>3</v>
      </c>
      <c r="J62" s="6">
        <v>200</v>
      </c>
      <c r="K62" s="6">
        <v>7</v>
      </c>
      <c r="L62" s="4" t="s">
        <v>881</v>
      </c>
      <c r="M62" s="4" t="s">
        <v>753</v>
      </c>
      <c r="N62" s="3">
        <v>850</v>
      </c>
    </row>
    <row r="63" spans="1:14" ht="24.75" customHeight="1">
      <c r="A63" s="3">
        <v>61</v>
      </c>
      <c r="B63" s="4" t="s">
        <v>745</v>
      </c>
      <c r="C63" s="4" t="s">
        <v>595</v>
      </c>
      <c r="D63" s="4" t="s">
        <v>882</v>
      </c>
      <c r="E63" s="4"/>
      <c r="F63" s="4"/>
      <c r="G63" s="4"/>
      <c r="H63" s="4"/>
      <c r="I63" s="6">
        <v>3</v>
      </c>
      <c r="J63" s="6">
        <v>200</v>
      </c>
      <c r="K63" s="6">
        <v>7</v>
      </c>
      <c r="L63" s="4" t="s">
        <v>883</v>
      </c>
      <c r="M63" s="4" t="s">
        <v>753</v>
      </c>
      <c r="N63" s="3">
        <v>850</v>
      </c>
    </row>
    <row r="64" spans="1:14" ht="24.75" customHeight="1">
      <c r="A64" s="3">
        <v>62</v>
      </c>
      <c r="B64" s="4" t="s">
        <v>745</v>
      </c>
      <c r="C64" s="4" t="s">
        <v>595</v>
      </c>
      <c r="D64" s="4" t="s">
        <v>885</v>
      </c>
      <c r="E64" s="4"/>
      <c r="F64" s="4"/>
      <c r="G64" s="4"/>
      <c r="H64" s="4"/>
      <c r="I64" s="6">
        <v>3</v>
      </c>
      <c r="J64" s="6">
        <v>200</v>
      </c>
      <c r="K64" s="6">
        <v>7</v>
      </c>
      <c r="L64" s="4" t="s">
        <v>217</v>
      </c>
      <c r="M64" s="4" t="s">
        <v>753</v>
      </c>
      <c r="N64" s="3">
        <v>850</v>
      </c>
    </row>
    <row r="65" spans="1:14" ht="24.75" customHeight="1">
      <c r="A65" s="3">
        <v>63</v>
      </c>
      <c r="B65" s="4" t="s">
        <v>745</v>
      </c>
      <c r="C65" s="4" t="s">
        <v>595</v>
      </c>
      <c r="D65" s="4" t="s">
        <v>886</v>
      </c>
      <c r="E65" s="4"/>
      <c r="F65" s="4"/>
      <c r="G65" s="4"/>
      <c r="H65" s="4"/>
      <c r="I65" s="6">
        <v>3</v>
      </c>
      <c r="J65" s="6">
        <v>200</v>
      </c>
      <c r="K65" s="6">
        <v>7</v>
      </c>
      <c r="L65" s="4" t="s">
        <v>887</v>
      </c>
      <c r="M65" s="4" t="s">
        <v>753</v>
      </c>
      <c r="N65" s="3">
        <v>850</v>
      </c>
    </row>
    <row r="66" spans="1:14" ht="24.75" customHeight="1">
      <c r="A66" s="3">
        <v>64</v>
      </c>
      <c r="B66" s="4" t="s">
        <v>745</v>
      </c>
      <c r="C66" s="4" t="s">
        <v>595</v>
      </c>
      <c r="D66" s="4" t="s">
        <v>888</v>
      </c>
      <c r="E66" s="4"/>
      <c r="F66" s="4"/>
      <c r="G66" s="4"/>
      <c r="H66" s="4"/>
      <c r="I66" s="6">
        <v>3</v>
      </c>
      <c r="J66" s="6">
        <v>200</v>
      </c>
      <c r="K66" s="6">
        <v>7</v>
      </c>
      <c r="L66" s="4" t="s">
        <v>889</v>
      </c>
      <c r="M66" s="4" t="s">
        <v>753</v>
      </c>
      <c r="N66" s="3">
        <v>850</v>
      </c>
    </row>
    <row r="67" spans="1:14" ht="24.75" customHeight="1">
      <c r="A67" s="3">
        <v>65</v>
      </c>
      <c r="B67" s="4" t="s">
        <v>745</v>
      </c>
      <c r="C67" s="4" t="s">
        <v>611</v>
      </c>
      <c r="D67" s="4" t="s">
        <v>890</v>
      </c>
      <c r="E67" s="4"/>
      <c r="F67" s="4"/>
      <c r="G67" s="4"/>
      <c r="H67" s="4"/>
      <c r="I67" s="6">
        <v>2</v>
      </c>
      <c r="J67" s="6">
        <v>200</v>
      </c>
      <c r="K67" s="6">
        <v>7</v>
      </c>
      <c r="L67" s="4" t="s">
        <v>891</v>
      </c>
      <c r="M67" s="4" t="s">
        <v>748</v>
      </c>
      <c r="N67" s="3">
        <v>455</v>
      </c>
    </row>
    <row r="68" spans="1:14" ht="24.75" customHeight="1">
      <c r="A68" s="3">
        <v>66</v>
      </c>
      <c r="B68" s="4" t="s">
        <v>745</v>
      </c>
      <c r="C68" s="4" t="s">
        <v>611</v>
      </c>
      <c r="D68" s="4" t="s">
        <v>893</v>
      </c>
      <c r="E68" s="4"/>
      <c r="F68" s="4"/>
      <c r="G68" s="4"/>
      <c r="H68" s="4"/>
      <c r="I68" s="6">
        <v>3</v>
      </c>
      <c r="J68" s="6">
        <v>200</v>
      </c>
      <c r="K68" s="6">
        <v>7</v>
      </c>
      <c r="L68" s="4" t="s">
        <v>894</v>
      </c>
      <c r="M68" s="4" t="s">
        <v>753</v>
      </c>
      <c r="N68" s="3">
        <v>850</v>
      </c>
    </row>
    <row r="69" spans="1:14" ht="24.75" customHeight="1">
      <c r="A69" s="3">
        <v>67</v>
      </c>
      <c r="B69" s="4" t="s">
        <v>745</v>
      </c>
      <c r="C69" s="4" t="s">
        <v>611</v>
      </c>
      <c r="D69" s="4" t="s">
        <v>897</v>
      </c>
      <c r="E69" s="4"/>
      <c r="F69" s="4"/>
      <c r="G69" s="4"/>
      <c r="H69" s="4"/>
      <c r="I69" s="6">
        <v>3</v>
      </c>
      <c r="J69" s="6">
        <v>200</v>
      </c>
      <c r="K69" s="6">
        <v>7</v>
      </c>
      <c r="L69" s="4" t="s">
        <v>898</v>
      </c>
      <c r="M69" s="4" t="s">
        <v>753</v>
      </c>
      <c r="N69" s="3">
        <v>850</v>
      </c>
    </row>
    <row r="70" spans="1:14" ht="24.75" customHeight="1">
      <c r="A70" s="3">
        <v>68</v>
      </c>
      <c r="B70" s="4" t="s">
        <v>745</v>
      </c>
      <c r="C70" s="4" t="s">
        <v>611</v>
      </c>
      <c r="D70" s="4" t="s">
        <v>899</v>
      </c>
      <c r="E70" s="4"/>
      <c r="F70" s="4"/>
      <c r="G70" s="4"/>
      <c r="H70" s="4"/>
      <c r="I70" s="6">
        <v>3</v>
      </c>
      <c r="J70" s="6">
        <v>200</v>
      </c>
      <c r="K70" s="6">
        <v>7</v>
      </c>
      <c r="L70" s="4" t="s">
        <v>900</v>
      </c>
      <c r="M70" s="4" t="s">
        <v>753</v>
      </c>
      <c r="N70" s="3">
        <v>850</v>
      </c>
    </row>
    <row r="71" spans="1:14" ht="24.75" customHeight="1">
      <c r="A71" s="3">
        <v>69</v>
      </c>
      <c r="B71" s="4" t="s">
        <v>745</v>
      </c>
      <c r="C71" s="4" t="s">
        <v>611</v>
      </c>
      <c r="D71" s="4" t="s">
        <v>901</v>
      </c>
      <c r="E71" s="4"/>
      <c r="F71" s="4"/>
      <c r="G71" s="4"/>
      <c r="H71" s="4"/>
      <c r="I71" s="6">
        <v>3</v>
      </c>
      <c r="J71" s="6">
        <v>200</v>
      </c>
      <c r="K71" s="6">
        <v>7</v>
      </c>
      <c r="L71" s="4" t="s">
        <v>902</v>
      </c>
      <c r="M71" s="4" t="s">
        <v>753</v>
      </c>
      <c r="N71" s="3">
        <v>850</v>
      </c>
    </row>
    <row r="72" spans="1:14" ht="24.75" customHeight="1">
      <c r="A72" s="3">
        <v>70</v>
      </c>
      <c r="B72" s="4" t="s">
        <v>745</v>
      </c>
      <c r="C72" s="4" t="s">
        <v>903</v>
      </c>
      <c r="D72" s="4" t="s">
        <v>906</v>
      </c>
      <c r="E72" s="4"/>
      <c r="F72" s="4"/>
      <c r="G72" s="4"/>
      <c r="H72" s="4"/>
      <c r="I72" s="6">
        <v>3</v>
      </c>
      <c r="J72" s="6">
        <v>200</v>
      </c>
      <c r="K72" s="6">
        <v>7</v>
      </c>
      <c r="L72" s="4" t="s">
        <v>907</v>
      </c>
      <c r="M72" s="4" t="s">
        <v>753</v>
      </c>
      <c r="N72" s="3">
        <v>850</v>
      </c>
    </row>
    <row r="73" spans="1:14" ht="24.75" customHeight="1">
      <c r="A73" s="3">
        <v>71</v>
      </c>
      <c r="B73" s="4" t="s">
        <v>745</v>
      </c>
      <c r="C73" s="4" t="s">
        <v>903</v>
      </c>
      <c r="D73" s="4" t="s">
        <v>908</v>
      </c>
      <c r="E73" s="4"/>
      <c r="F73" s="4"/>
      <c r="G73" s="4"/>
      <c r="H73" s="4"/>
      <c r="I73" s="6">
        <v>3</v>
      </c>
      <c r="J73" s="6">
        <v>200</v>
      </c>
      <c r="K73" s="6">
        <v>7</v>
      </c>
      <c r="L73" s="4" t="s">
        <v>909</v>
      </c>
      <c r="M73" s="4" t="s">
        <v>753</v>
      </c>
      <c r="N73" s="3">
        <v>850</v>
      </c>
    </row>
    <row r="74" spans="1:14" ht="24.75" customHeight="1">
      <c r="A74" s="3">
        <v>72</v>
      </c>
      <c r="B74" s="4" t="s">
        <v>745</v>
      </c>
      <c r="C74" s="4" t="s">
        <v>903</v>
      </c>
      <c r="D74" s="4" t="s">
        <v>911</v>
      </c>
      <c r="E74" s="4"/>
      <c r="F74" s="4"/>
      <c r="G74" s="4"/>
      <c r="H74" s="4"/>
      <c r="I74" s="6">
        <v>3</v>
      </c>
      <c r="J74" s="6">
        <v>200</v>
      </c>
      <c r="K74" s="6">
        <v>7</v>
      </c>
      <c r="L74" s="4" t="s">
        <v>912</v>
      </c>
      <c r="M74" s="4" t="s">
        <v>753</v>
      </c>
      <c r="N74" s="3">
        <v>850</v>
      </c>
    </row>
    <row r="75" spans="1:14" ht="24.75" customHeight="1">
      <c r="A75" s="3">
        <v>73</v>
      </c>
      <c r="B75" s="4" t="s">
        <v>745</v>
      </c>
      <c r="C75" s="4" t="s">
        <v>903</v>
      </c>
      <c r="D75" s="4" t="s">
        <v>914</v>
      </c>
      <c r="E75" s="4"/>
      <c r="F75" s="4"/>
      <c r="G75" s="4"/>
      <c r="H75" s="4"/>
      <c r="I75" s="6">
        <v>3</v>
      </c>
      <c r="J75" s="6">
        <v>200</v>
      </c>
      <c r="K75" s="6">
        <v>7</v>
      </c>
      <c r="L75" s="4" t="s">
        <v>915</v>
      </c>
      <c r="M75" s="4" t="s">
        <v>753</v>
      </c>
      <c r="N75" s="3">
        <v>850</v>
      </c>
    </row>
    <row r="76" spans="1:14" ht="24.75" customHeight="1">
      <c r="A76" s="3">
        <v>74</v>
      </c>
      <c r="B76" s="4" t="s">
        <v>745</v>
      </c>
      <c r="C76" s="4" t="s">
        <v>643</v>
      </c>
      <c r="D76" s="4" t="s">
        <v>916</v>
      </c>
      <c r="E76" s="4"/>
      <c r="F76" s="4"/>
      <c r="G76" s="4"/>
      <c r="H76" s="4"/>
      <c r="I76" s="6">
        <v>2</v>
      </c>
      <c r="J76" s="6">
        <v>200</v>
      </c>
      <c r="K76" s="6">
        <v>7</v>
      </c>
      <c r="L76" s="4" t="s">
        <v>917</v>
      </c>
      <c r="M76" s="4" t="s">
        <v>748</v>
      </c>
      <c r="N76" s="3">
        <v>455</v>
      </c>
    </row>
    <row r="77" spans="1:14" ht="24.75" customHeight="1">
      <c r="A77" s="3">
        <v>75</v>
      </c>
      <c r="B77" s="4" t="s">
        <v>745</v>
      </c>
      <c r="C77" s="4" t="s">
        <v>643</v>
      </c>
      <c r="D77" s="4" t="s">
        <v>919</v>
      </c>
      <c r="E77" s="4"/>
      <c r="F77" s="4"/>
      <c r="G77" s="4"/>
      <c r="H77" s="4"/>
      <c r="I77" s="6">
        <v>3</v>
      </c>
      <c r="J77" s="6">
        <v>200</v>
      </c>
      <c r="K77" s="6">
        <v>7</v>
      </c>
      <c r="L77" s="4" t="s">
        <v>920</v>
      </c>
      <c r="M77" s="4" t="s">
        <v>753</v>
      </c>
      <c r="N77" s="3">
        <v>850</v>
      </c>
    </row>
    <row r="78" spans="1:14" ht="24.75" customHeight="1">
      <c r="A78" s="3">
        <v>76</v>
      </c>
      <c r="B78" s="4" t="s">
        <v>745</v>
      </c>
      <c r="C78" s="4" t="s">
        <v>643</v>
      </c>
      <c r="D78" s="4" t="s">
        <v>921</v>
      </c>
      <c r="E78" s="4"/>
      <c r="F78" s="4"/>
      <c r="G78" s="4"/>
      <c r="H78" s="4"/>
      <c r="I78" s="6">
        <v>3</v>
      </c>
      <c r="J78" s="6">
        <v>200</v>
      </c>
      <c r="K78" s="6">
        <v>7</v>
      </c>
      <c r="L78" s="4" t="s">
        <v>922</v>
      </c>
      <c r="M78" s="4" t="s">
        <v>753</v>
      </c>
      <c r="N78" s="3">
        <v>850</v>
      </c>
    </row>
    <row r="79" spans="1:14" ht="24.75" customHeight="1">
      <c r="A79" s="3">
        <v>77</v>
      </c>
      <c r="B79" s="4" t="s">
        <v>745</v>
      </c>
      <c r="C79" s="4" t="s">
        <v>643</v>
      </c>
      <c r="D79" s="4" t="s">
        <v>924</v>
      </c>
      <c r="E79" s="4"/>
      <c r="F79" s="4"/>
      <c r="G79" s="4"/>
      <c r="H79" s="4"/>
      <c r="I79" s="6">
        <v>3</v>
      </c>
      <c r="J79" s="6">
        <v>200</v>
      </c>
      <c r="K79" s="6">
        <v>7</v>
      </c>
      <c r="L79" s="4" t="s">
        <v>925</v>
      </c>
      <c r="M79" s="4" t="s">
        <v>753</v>
      </c>
      <c r="N79" s="3">
        <v>850</v>
      </c>
    </row>
    <row r="80" spans="1:14" ht="24.75" customHeight="1">
      <c r="A80" s="3">
        <v>78</v>
      </c>
      <c r="B80" s="4" t="s">
        <v>745</v>
      </c>
      <c r="C80" s="4" t="s">
        <v>643</v>
      </c>
      <c r="D80" s="4" t="s">
        <v>926</v>
      </c>
      <c r="E80" s="4"/>
      <c r="F80" s="4"/>
      <c r="G80" s="4"/>
      <c r="H80" s="4"/>
      <c r="I80" s="6">
        <v>3</v>
      </c>
      <c r="J80" s="6">
        <v>200</v>
      </c>
      <c r="K80" s="6">
        <v>7</v>
      </c>
      <c r="L80" s="4" t="s">
        <v>927</v>
      </c>
      <c r="M80" s="4" t="s">
        <v>753</v>
      </c>
      <c r="N80" s="3">
        <v>850</v>
      </c>
    </row>
    <row r="81" spans="1:14" ht="24.75" customHeight="1">
      <c r="A81" s="3">
        <v>79</v>
      </c>
      <c r="B81" s="4" t="s">
        <v>745</v>
      </c>
      <c r="C81" s="4" t="s">
        <v>643</v>
      </c>
      <c r="D81" s="4" t="s">
        <v>928</v>
      </c>
      <c r="E81" s="4"/>
      <c r="F81" s="4"/>
      <c r="G81" s="4"/>
      <c r="H81" s="4"/>
      <c r="I81" s="6">
        <v>3</v>
      </c>
      <c r="J81" s="6">
        <v>200</v>
      </c>
      <c r="K81" s="6">
        <v>7</v>
      </c>
      <c r="L81" s="4" t="s">
        <v>929</v>
      </c>
      <c r="M81" s="4" t="s">
        <v>753</v>
      </c>
      <c r="N81" s="3">
        <v>850</v>
      </c>
    </row>
    <row r="82" spans="1:14" ht="24.75" customHeight="1">
      <c r="A82" s="3">
        <v>80</v>
      </c>
      <c r="B82" s="4" t="s">
        <v>745</v>
      </c>
      <c r="C82" s="4" t="s">
        <v>660</v>
      </c>
      <c r="D82" s="4" t="s">
        <v>930</v>
      </c>
      <c r="E82" s="4"/>
      <c r="F82" s="4"/>
      <c r="G82" s="4"/>
      <c r="H82" s="4"/>
      <c r="I82" s="6">
        <v>2</v>
      </c>
      <c r="J82" s="6">
        <v>200</v>
      </c>
      <c r="K82" s="6">
        <v>7</v>
      </c>
      <c r="L82" s="4" t="s">
        <v>931</v>
      </c>
      <c r="M82" s="4" t="s">
        <v>748</v>
      </c>
      <c r="N82" s="3">
        <v>455</v>
      </c>
    </row>
    <row r="83" spans="1:14" ht="24.75" customHeight="1">
      <c r="A83" s="3">
        <v>81</v>
      </c>
      <c r="B83" s="4" t="s">
        <v>745</v>
      </c>
      <c r="C83" s="4" t="s">
        <v>660</v>
      </c>
      <c r="D83" s="4" t="s">
        <v>932</v>
      </c>
      <c r="E83" s="4"/>
      <c r="F83" s="4"/>
      <c r="G83" s="4"/>
      <c r="H83" s="4"/>
      <c r="I83" s="6">
        <v>2</v>
      </c>
      <c r="J83" s="6">
        <v>200</v>
      </c>
      <c r="K83" s="6">
        <v>7</v>
      </c>
      <c r="L83" s="4" t="s">
        <v>933</v>
      </c>
      <c r="M83" s="4" t="s">
        <v>750</v>
      </c>
      <c r="N83" s="3">
        <v>595</v>
      </c>
    </row>
    <row r="84" spans="1:14" ht="24.75" customHeight="1">
      <c r="A84" s="3">
        <v>82</v>
      </c>
      <c r="B84" s="4" t="s">
        <v>745</v>
      </c>
      <c r="C84" s="4" t="s">
        <v>660</v>
      </c>
      <c r="D84" s="4" t="s">
        <v>935</v>
      </c>
      <c r="E84" s="4"/>
      <c r="F84" s="4"/>
      <c r="G84" s="4"/>
      <c r="H84" s="4"/>
      <c r="I84" s="6">
        <v>3</v>
      </c>
      <c r="J84" s="6">
        <v>200</v>
      </c>
      <c r="K84" s="6">
        <v>7</v>
      </c>
      <c r="L84" s="4" t="s">
        <v>354</v>
      </c>
      <c r="M84" s="4" t="s">
        <v>753</v>
      </c>
      <c r="N84" s="3">
        <v>850</v>
      </c>
    </row>
    <row r="85" spans="1:14" ht="24.75" customHeight="1">
      <c r="A85" s="3">
        <v>83</v>
      </c>
      <c r="B85" s="4" t="s">
        <v>745</v>
      </c>
      <c r="C85" s="4" t="s">
        <v>660</v>
      </c>
      <c r="D85" s="4" t="s">
        <v>937</v>
      </c>
      <c r="E85" s="4"/>
      <c r="F85" s="4"/>
      <c r="G85" s="4"/>
      <c r="H85" s="4"/>
      <c r="I85" s="6">
        <v>3</v>
      </c>
      <c r="J85" s="6">
        <v>200</v>
      </c>
      <c r="K85" s="6">
        <v>7</v>
      </c>
      <c r="L85" s="4" t="s">
        <v>100</v>
      </c>
      <c r="M85" s="4" t="s">
        <v>753</v>
      </c>
      <c r="N85" s="3">
        <v>850</v>
      </c>
    </row>
    <row r="86" spans="1:14" ht="12.75" customHeight="1"/>
    <row r="87" spans="1:14" ht="12.75" customHeight="1"/>
    <row r="88" spans="1:14" ht="12.75" customHeight="1"/>
    <row r="89" spans="1:14" ht="12.75" customHeight="1"/>
    <row r="90" spans="1:14" ht="12.75" customHeight="1"/>
    <row r="91" spans="1:14" ht="12.75" customHeight="1"/>
    <row r="92" spans="1:14" ht="12.75" customHeight="1"/>
    <row r="93" spans="1:14" ht="12.75" customHeight="1"/>
    <row r="94" spans="1:14" ht="12.75" customHeight="1"/>
    <row r="95" spans="1:14" ht="12.75" customHeight="1"/>
    <row r="96" spans="1:14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H1"/>
  </mergeCells>
  <pageMargins left="0.31496062992125984" right="0.31496062992125984" top="0.74803149606299213" bottom="0.74803149606299213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workbookViewId="0"/>
  </sheetViews>
  <sheetFormatPr defaultColWidth="12.6640625" defaultRowHeight="15" customHeight="1"/>
  <cols>
    <col min="1" max="1" width="5.44140625" customWidth="1"/>
    <col min="2" max="2" width="6.21875" customWidth="1"/>
    <col min="3" max="3" width="7" customWidth="1"/>
    <col min="4" max="4" width="7.88671875" customWidth="1"/>
    <col min="5" max="5" width="15.109375" customWidth="1"/>
    <col min="6" max="6" width="15.21875" customWidth="1"/>
    <col min="7" max="7" width="17.109375" customWidth="1"/>
    <col min="8" max="8" width="16.21875" customWidth="1"/>
    <col min="9" max="9" width="15.109375" customWidth="1"/>
    <col min="10" max="10" width="16.109375" customWidth="1"/>
    <col min="11" max="11" width="13.77734375" customWidth="1"/>
    <col min="12" max="12" width="22.21875" customWidth="1"/>
    <col min="13" max="13" width="14" customWidth="1"/>
    <col min="14" max="26" width="8.6640625" customWidth="1"/>
  </cols>
  <sheetData>
    <row r="1" spans="1:14" ht="12.75" customHeight="1">
      <c r="A1" s="33" t="s">
        <v>963</v>
      </c>
      <c r="B1" s="34"/>
      <c r="C1" s="34"/>
      <c r="D1" s="34"/>
      <c r="E1" s="34"/>
      <c r="F1" s="34"/>
      <c r="G1" s="34"/>
      <c r="H1" s="34"/>
    </row>
    <row r="2" spans="1:14" ht="12.75" customHeight="1">
      <c r="A2" s="17" t="s">
        <v>0</v>
      </c>
      <c r="B2" s="17" t="s">
        <v>1</v>
      </c>
      <c r="C2" s="17" t="s">
        <v>2</v>
      </c>
      <c r="D2" s="17" t="s">
        <v>3</v>
      </c>
      <c r="E2" s="17" t="s">
        <v>943</v>
      </c>
      <c r="F2" s="18" t="s">
        <v>944</v>
      </c>
      <c r="G2" s="18" t="s">
        <v>945</v>
      </c>
      <c r="H2" s="18" t="s">
        <v>13</v>
      </c>
      <c r="I2" s="20" t="s">
        <v>946</v>
      </c>
      <c r="J2" s="20" t="s">
        <v>947</v>
      </c>
      <c r="K2" s="20" t="s">
        <v>948</v>
      </c>
      <c r="L2" s="17" t="s">
        <v>17</v>
      </c>
      <c r="M2" s="17" t="s">
        <v>19</v>
      </c>
      <c r="N2" s="17" t="s">
        <v>18</v>
      </c>
    </row>
    <row r="3" spans="1:14" ht="24.75" customHeight="1">
      <c r="A3" s="3">
        <v>1</v>
      </c>
      <c r="B3" s="4" t="s">
        <v>964</v>
      </c>
      <c r="C3" s="4" t="s">
        <v>965</v>
      </c>
      <c r="D3" s="4" t="s">
        <v>966</v>
      </c>
      <c r="E3" s="4"/>
      <c r="F3" s="4"/>
      <c r="G3" s="4"/>
      <c r="H3" s="4"/>
      <c r="I3" s="6">
        <v>2</v>
      </c>
      <c r="J3" s="6">
        <v>500</v>
      </c>
      <c r="K3" s="6">
        <v>10</v>
      </c>
      <c r="L3" s="4" t="s">
        <v>967</v>
      </c>
      <c r="M3" s="4" t="s">
        <v>968</v>
      </c>
      <c r="N3" s="3">
        <v>129</v>
      </c>
    </row>
    <row r="4" spans="1:14" ht="24.75" customHeight="1">
      <c r="A4" s="3">
        <v>2</v>
      </c>
      <c r="B4" s="4" t="s">
        <v>964</v>
      </c>
      <c r="C4" s="4" t="s">
        <v>965</v>
      </c>
      <c r="D4" s="4" t="s">
        <v>969</v>
      </c>
      <c r="E4" s="4"/>
      <c r="F4" s="4"/>
      <c r="G4" s="4"/>
      <c r="H4" s="4"/>
      <c r="I4" s="6">
        <v>2</v>
      </c>
      <c r="J4" s="6">
        <v>500</v>
      </c>
      <c r="K4" s="6">
        <v>10</v>
      </c>
      <c r="L4" s="4" t="s">
        <v>970</v>
      </c>
      <c r="M4" s="4" t="s">
        <v>971</v>
      </c>
      <c r="N4" s="3">
        <v>125</v>
      </c>
    </row>
    <row r="5" spans="1:14" ht="24.75" customHeight="1">
      <c r="A5" s="3">
        <v>3</v>
      </c>
      <c r="B5" s="4" t="s">
        <v>964</v>
      </c>
      <c r="C5" s="4" t="s">
        <v>965</v>
      </c>
      <c r="D5" s="4" t="s">
        <v>972</v>
      </c>
      <c r="E5" s="4"/>
      <c r="F5" s="4"/>
      <c r="G5" s="4"/>
      <c r="H5" s="4"/>
      <c r="I5" s="6">
        <v>3</v>
      </c>
      <c r="J5" s="6">
        <v>500</v>
      </c>
      <c r="K5" s="6">
        <v>10</v>
      </c>
      <c r="L5" s="4" t="s">
        <v>973</v>
      </c>
      <c r="M5" s="4" t="s">
        <v>974</v>
      </c>
      <c r="N5" s="3">
        <v>290</v>
      </c>
    </row>
    <row r="6" spans="1:14" ht="24.75" customHeight="1">
      <c r="A6" s="3">
        <v>4</v>
      </c>
      <c r="B6" s="4" t="s">
        <v>964</v>
      </c>
      <c r="C6" s="4" t="s">
        <v>965</v>
      </c>
      <c r="D6" s="4" t="s">
        <v>975</v>
      </c>
      <c r="E6" s="4"/>
      <c r="F6" s="4"/>
      <c r="G6" s="4"/>
      <c r="H6" s="4"/>
      <c r="I6" s="6">
        <v>4</v>
      </c>
      <c r="J6" s="6">
        <v>500</v>
      </c>
      <c r="K6" s="6">
        <v>10</v>
      </c>
      <c r="L6" s="4" t="s">
        <v>976</v>
      </c>
      <c r="M6" s="4" t="s">
        <v>977</v>
      </c>
      <c r="N6" s="3">
        <v>393</v>
      </c>
    </row>
    <row r="7" spans="1:14" ht="24.75" customHeight="1">
      <c r="A7" s="3">
        <v>5</v>
      </c>
      <c r="B7" s="4" t="s">
        <v>964</v>
      </c>
      <c r="C7" s="4" t="s">
        <v>965</v>
      </c>
      <c r="D7" s="4" t="s">
        <v>978</v>
      </c>
      <c r="E7" s="4"/>
      <c r="F7" s="4"/>
      <c r="G7" s="4"/>
      <c r="H7" s="4"/>
      <c r="I7" s="6">
        <v>3</v>
      </c>
      <c r="J7" s="6">
        <v>500</v>
      </c>
      <c r="K7" s="6">
        <v>10</v>
      </c>
      <c r="L7" s="4" t="s">
        <v>970</v>
      </c>
      <c r="M7" s="4" t="s">
        <v>974</v>
      </c>
      <c r="N7" s="3">
        <v>290</v>
      </c>
    </row>
    <row r="8" spans="1:14" ht="24.75" customHeight="1">
      <c r="A8" s="3">
        <v>6</v>
      </c>
      <c r="B8" s="4" t="s">
        <v>964</v>
      </c>
      <c r="C8" s="4" t="s">
        <v>965</v>
      </c>
      <c r="D8" s="4" t="s">
        <v>979</v>
      </c>
      <c r="E8" s="4"/>
      <c r="F8" s="4"/>
      <c r="G8" s="4"/>
      <c r="H8" s="4"/>
      <c r="I8" s="6">
        <v>4</v>
      </c>
      <c r="J8" s="6">
        <v>500</v>
      </c>
      <c r="K8" s="6">
        <v>10</v>
      </c>
      <c r="L8" s="4" t="s">
        <v>980</v>
      </c>
      <c r="M8" s="4" t="s">
        <v>981</v>
      </c>
      <c r="N8" s="3">
        <v>390</v>
      </c>
    </row>
    <row r="9" spans="1:14" ht="24.75" customHeight="1">
      <c r="A9" s="3">
        <v>7</v>
      </c>
      <c r="B9" s="4" t="s">
        <v>964</v>
      </c>
      <c r="C9" s="4" t="s">
        <v>965</v>
      </c>
      <c r="D9" s="4" t="s">
        <v>982</v>
      </c>
      <c r="E9" s="4"/>
      <c r="F9" s="4"/>
      <c r="G9" s="4"/>
      <c r="H9" s="4"/>
      <c r="I9" s="6">
        <v>4</v>
      </c>
      <c r="J9" s="6">
        <v>500</v>
      </c>
      <c r="K9" s="6">
        <v>10</v>
      </c>
      <c r="L9" s="4" t="s">
        <v>983</v>
      </c>
      <c r="M9" s="4" t="s">
        <v>984</v>
      </c>
      <c r="N9" s="3">
        <v>341</v>
      </c>
    </row>
    <row r="10" spans="1:14" ht="24.75" customHeight="1">
      <c r="A10" s="3">
        <v>8</v>
      </c>
      <c r="B10" s="4" t="s">
        <v>964</v>
      </c>
      <c r="C10" s="4" t="s">
        <v>965</v>
      </c>
      <c r="D10" s="4" t="s">
        <v>985</v>
      </c>
      <c r="E10" s="4"/>
      <c r="F10" s="4"/>
      <c r="G10" s="4"/>
      <c r="H10" s="4"/>
      <c r="I10" s="6">
        <v>4</v>
      </c>
      <c r="J10" s="6">
        <v>500</v>
      </c>
      <c r="K10" s="6">
        <v>10</v>
      </c>
      <c r="L10" s="4" t="s">
        <v>986</v>
      </c>
      <c r="M10" s="4" t="s">
        <v>987</v>
      </c>
      <c r="N10" s="3">
        <v>365</v>
      </c>
    </row>
    <row r="11" spans="1:14" ht="12.75" customHeight="1"/>
    <row r="12" spans="1:14" ht="12.75" customHeight="1"/>
    <row r="13" spans="1:14" ht="12.75" customHeight="1"/>
    <row r="14" spans="1:14" ht="12.75" customHeight="1"/>
    <row r="15" spans="1:14" ht="12.75" customHeight="1"/>
    <row r="16" spans="1:14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H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104"/>
  <sheetViews>
    <sheetView workbookViewId="0"/>
  </sheetViews>
  <sheetFormatPr defaultColWidth="12.6640625" defaultRowHeight="15" customHeight="1"/>
  <cols>
    <col min="1" max="1" width="25.109375" customWidth="1"/>
    <col min="2" max="2" width="11.77734375" customWidth="1"/>
    <col min="3" max="3" width="17.109375" customWidth="1"/>
  </cols>
  <sheetData>
    <row r="1" spans="1:3" ht="15" customHeight="1">
      <c r="A1" s="35" t="s">
        <v>988</v>
      </c>
      <c r="B1" s="34"/>
      <c r="C1" s="34"/>
    </row>
    <row r="2" spans="1:3">
      <c r="A2" s="21" t="s">
        <v>989</v>
      </c>
      <c r="B2" s="21" t="s">
        <v>990</v>
      </c>
      <c r="C2" s="21" t="s">
        <v>991</v>
      </c>
    </row>
    <row r="3" spans="1:3">
      <c r="A3" s="22" t="s">
        <v>992</v>
      </c>
      <c r="B3" s="23">
        <v>1103</v>
      </c>
      <c r="C3" s="23" t="s">
        <v>993</v>
      </c>
    </row>
    <row r="4" spans="1:3">
      <c r="A4" s="24" t="s">
        <v>992</v>
      </c>
      <c r="B4" s="25">
        <v>1203</v>
      </c>
      <c r="C4" s="25" t="s">
        <v>993</v>
      </c>
    </row>
    <row r="5" spans="1:3">
      <c r="A5" s="22" t="s">
        <v>992</v>
      </c>
      <c r="B5" s="23">
        <v>1402</v>
      </c>
      <c r="C5" s="23" t="s">
        <v>993</v>
      </c>
    </row>
    <row r="6" spans="1:3">
      <c r="A6" s="24" t="s">
        <v>992</v>
      </c>
      <c r="B6" s="25">
        <v>1403</v>
      </c>
      <c r="C6" s="25" t="s">
        <v>993</v>
      </c>
    </row>
    <row r="7" spans="1:3">
      <c r="A7" s="22" t="s">
        <v>992</v>
      </c>
      <c r="B7" s="23">
        <v>1502</v>
      </c>
      <c r="C7" s="23" t="s">
        <v>993</v>
      </c>
    </row>
    <row r="8" spans="1:3">
      <c r="A8" s="24" t="s">
        <v>992</v>
      </c>
      <c r="B8" s="25">
        <v>1503</v>
      </c>
      <c r="C8" s="25" t="s">
        <v>993</v>
      </c>
    </row>
    <row r="9" spans="1:3">
      <c r="A9" s="22" t="s">
        <v>992</v>
      </c>
      <c r="B9" s="23">
        <v>1601</v>
      </c>
      <c r="C9" s="23" t="s">
        <v>993</v>
      </c>
    </row>
    <row r="10" spans="1:3">
      <c r="A10" s="22" t="s">
        <v>992</v>
      </c>
      <c r="B10" s="23">
        <v>1703</v>
      </c>
      <c r="C10" s="23" t="s">
        <v>994</v>
      </c>
    </row>
    <row r="11" spans="1:3">
      <c r="A11" s="24" t="s">
        <v>992</v>
      </c>
      <c r="B11" s="25">
        <v>1704</v>
      </c>
      <c r="C11" s="25" t="s">
        <v>993</v>
      </c>
    </row>
    <row r="12" spans="1:3">
      <c r="A12" s="24" t="s">
        <v>992</v>
      </c>
      <c r="B12" s="25">
        <v>1801</v>
      </c>
      <c r="C12" s="25" t="s">
        <v>994</v>
      </c>
    </row>
    <row r="13" spans="1:3">
      <c r="A13" s="22" t="s">
        <v>992</v>
      </c>
      <c r="B13" s="23">
        <v>1803</v>
      </c>
      <c r="C13" s="23" t="s">
        <v>993</v>
      </c>
    </row>
    <row r="14" spans="1:3">
      <c r="A14" s="24" t="s">
        <v>992</v>
      </c>
      <c r="B14" s="25">
        <v>1804</v>
      </c>
      <c r="C14" s="25" t="s">
        <v>993</v>
      </c>
    </row>
    <row r="15" spans="1:3">
      <c r="A15" s="24" t="s">
        <v>992</v>
      </c>
      <c r="B15" s="25">
        <v>404</v>
      </c>
      <c r="C15" s="25" t="s">
        <v>993</v>
      </c>
    </row>
    <row r="16" spans="1:3">
      <c r="A16" s="22" t="s">
        <v>992</v>
      </c>
      <c r="B16" s="23">
        <v>603</v>
      </c>
      <c r="C16" s="23" t="s">
        <v>993</v>
      </c>
    </row>
    <row r="17" spans="1:3">
      <c r="A17" s="24" t="s">
        <v>992</v>
      </c>
      <c r="B17" s="25">
        <v>702</v>
      </c>
      <c r="C17" s="25" t="s">
        <v>993</v>
      </c>
    </row>
    <row r="18" spans="1:3" ht="15" customHeight="1">
      <c r="A18" s="35" t="s">
        <v>995</v>
      </c>
      <c r="B18" s="34"/>
      <c r="C18" s="34"/>
    </row>
    <row r="19" spans="1:3">
      <c r="A19" s="21" t="s">
        <v>989</v>
      </c>
      <c r="B19" s="21" t="s">
        <v>990</v>
      </c>
      <c r="C19" s="21" t="s">
        <v>991</v>
      </c>
    </row>
    <row r="20" spans="1:3">
      <c r="A20" s="24" t="s">
        <v>996</v>
      </c>
      <c r="B20" s="25">
        <v>108</v>
      </c>
      <c r="C20" s="25" t="s">
        <v>993</v>
      </c>
    </row>
    <row r="21" spans="1:3">
      <c r="A21" s="22" t="s">
        <v>996</v>
      </c>
      <c r="B21" s="23">
        <v>1108</v>
      </c>
      <c r="C21" s="23" t="s">
        <v>993</v>
      </c>
    </row>
    <row r="22" spans="1:3">
      <c r="A22" s="24" t="s">
        <v>996</v>
      </c>
      <c r="B22" s="25" t="s">
        <v>997</v>
      </c>
      <c r="C22" s="25" t="s">
        <v>993</v>
      </c>
    </row>
    <row r="23" spans="1:3">
      <c r="A23" s="22" t="s">
        <v>996</v>
      </c>
      <c r="B23" s="23">
        <v>1401</v>
      </c>
      <c r="C23" s="23" t="s">
        <v>993</v>
      </c>
    </row>
    <row r="24" spans="1:3">
      <c r="A24" s="24" t="s">
        <v>996</v>
      </c>
      <c r="B24" s="25">
        <v>1408</v>
      </c>
      <c r="C24" s="25" t="s">
        <v>993</v>
      </c>
    </row>
    <row r="25" spans="1:3">
      <c r="A25" s="22" t="s">
        <v>996</v>
      </c>
      <c r="B25" s="23">
        <v>1508</v>
      </c>
      <c r="C25" s="23" t="s">
        <v>993</v>
      </c>
    </row>
    <row r="26" spans="1:3" ht="13.8">
      <c r="A26" s="22" t="s">
        <v>996</v>
      </c>
      <c r="B26" s="23">
        <v>1607</v>
      </c>
      <c r="C26" s="23" t="s">
        <v>994</v>
      </c>
    </row>
    <row r="27" spans="1:3" ht="13.8">
      <c r="A27" s="22" t="s">
        <v>996</v>
      </c>
      <c r="B27" s="23">
        <v>1608</v>
      </c>
      <c r="C27" s="23" t="s">
        <v>993</v>
      </c>
    </row>
    <row r="28" spans="1:3" ht="13.8">
      <c r="A28" s="24" t="s">
        <v>996</v>
      </c>
      <c r="B28" s="25">
        <v>1707</v>
      </c>
      <c r="C28" s="25" t="s">
        <v>993</v>
      </c>
    </row>
    <row r="29" spans="1:3" ht="13.8">
      <c r="A29" s="22" t="s">
        <v>996</v>
      </c>
      <c r="B29" s="23">
        <v>1708</v>
      </c>
      <c r="C29" s="23" t="s">
        <v>993</v>
      </c>
    </row>
    <row r="30" spans="1:3" ht="13.8">
      <c r="A30" s="24" t="s">
        <v>996</v>
      </c>
      <c r="B30" s="25">
        <v>1801</v>
      </c>
      <c r="C30" s="25" t="s">
        <v>993</v>
      </c>
    </row>
    <row r="31" spans="1:3" ht="13.8">
      <c r="A31" s="22" t="s">
        <v>996</v>
      </c>
      <c r="B31" s="23">
        <v>1803</v>
      </c>
      <c r="C31" s="23" t="s">
        <v>993</v>
      </c>
    </row>
    <row r="32" spans="1:3" ht="13.8">
      <c r="A32" s="24" t="s">
        <v>996</v>
      </c>
      <c r="B32" s="25">
        <v>1805</v>
      </c>
      <c r="C32" s="25" t="s">
        <v>993</v>
      </c>
    </row>
    <row r="33" spans="1:3" ht="13.8">
      <c r="A33" s="22" t="s">
        <v>996</v>
      </c>
      <c r="B33" s="23">
        <v>1806</v>
      </c>
      <c r="C33" s="23" t="s">
        <v>993</v>
      </c>
    </row>
    <row r="34" spans="1:3" ht="13.8">
      <c r="A34" s="24" t="s">
        <v>996</v>
      </c>
      <c r="B34" s="25">
        <v>1807</v>
      </c>
      <c r="C34" s="25" t="s">
        <v>994</v>
      </c>
    </row>
    <row r="35" spans="1:3" ht="13.8">
      <c r="A35" s="24" t="s">
        <v>996</v>
      </c>
      <c r="B35" s="25">
        <v>1808</v>
      </c>
      <c r="C35" s="25" t="s">
        <v>993</v>
      </c>
    </row>
    <row r="36" spans="1:3" ht="13.8">
      <c r="A36" s="22" t="s">
        <v>996</v>
      </c>
      <c r="B36" s="23">
        <v>1901</v>
      </c>
      <c r="C36" s="23" t="s">
        <v>994</v>
      </c>
    </row>
    <row r="37" spans="1:3" ht="13.8">
      <c r="A37" s="24" t="s">
        <v>996</v>
      </c>
      <c r="B37" s="25">
        <v>1903</v>
      </c>
      <c r="C37" s="25" t="s">
        <v>993</v>
      </c>
    </row>
    <row r="38" spans="1:3" ht="13.8">
      <c r="A38" s="24" t="s">
        <v>996</v>
      </c>
      <c r="B38" s="25">
        <v>1905</v>
      </c>
      <c r="C38" s="25" t="s">
        <v>994</v>
      </c>
    </row>
    <row r="39" spans="1:3" ht="13.8">
      <c r="A39" s="24" t="s">
        <v>996</v>
      </c>
      <c r="B39" s="25">
        <v>1907</v>
      </c>
      <c r="C39" s="25" t="s">
        <v>993</v>
      </c>
    </row>
    <row r="40" spans="1:3" ht="13.8">
      <c r="A40" s="22" t="s">
        <v>996</v>
      </c>
      <c r="B40" s="23">
        <v>1908</v>
      </c>
      <c r="C40" s="23" t="s">
        <v>993</v>
      </c>
    </row>
    <row r="41" spans="1:3" ht="13.8">
      <c r="A41" s="24" t="s">
        <v>996</v>
      </c>
      <c r="B41" s="25">
        <v>307</v>
      </c>
      <c r="C41" s="25" t="s">
        <v>994</v>
      </c>
    </row>
    <row r="42" spans="1:3" ht="13.8">
      <c r="A42" s="22" t="s">
        <v>996</v>
      </c>
      <c r="B42" s="23">
        <v>308</v>
      </c>
      <c r="C42" s="23" t="s">
        <v>994</v>
      </c>
    </row>
    <row r="43" spans="1:3" ht="13.8">
      <c r="A43" s="22" t="s">
        <v>996</v>
      </c>
      <c r="B43" s="23">
        <v>605</v>
      </c>
      <c r="C43" s="23" t="s">
        <v>993</v>
      </c>
    </row>
    <row r="44" spans="1:3" ht="13.8">
      <c r="A44" s="24" t="s">
        <v>996</v>
      </c>
      <c r="B44" s="25">
        <v>808</v>
      </c>
      <c r="C44" s="25" t="s">
        <v>994</v>
      </c>
    </row>
    <row r="45" spans="1:3" ht="14.4">
      <c r="A45" s="35" t="s">
        <v>998</v>
      </c>
      <c r="B45" s="34"/>
      <c r="C45" s="34"/>
    </row>
    <row r="46" spans="1:3" ht="13.8">
      <c r="A46" s="21" t="s">
        <v>989</v>
      </c>
      <c r="B46" s="21" t="s">
        <v>990</v>
      </c>
      <c r="C46" s="21" t="s">
        <v>991</v>
      </c>
    </row>
    <row r="47" spans="1:3" ht="13.8">
      <c r="A47" s="24" t="s">
        <v>999</v>
      </c>
      <c r="B47" s="25">
        <v>103</v>
      </c>
      <c r="C47" s="25" t="s">
        <v>994</v>
      </c>
    </row>
    <row r="48" spans="1:3" ht="13.8">
      <c r="A48" s="22" t="s">
        <v>999</v>
      </c>
      <c r="B48" s="23">
        <v>1201</v>
      </c>
      <c r="C48" s="23" t="s">
        <v>993</v>
      </c>
    </row>
    <row r="49" spans="1:3" ht="13.8">
      <c r="A49" s="24" t="s">
        <v>999</v>
      </c>
      <c r="B49" s="25">
        <v>1202</v>
      </c>
      <c r="C49" s="25" t="s">
        <v>993</v>
      </c>
    </row>
    <row r="50" spans="1:3" ht="13.8">
      <c r="A50" s="22" t="s">
        <v>999</v>
      </c>
      <c r="B50" s="23">
        <v>1401</v>
      </c>
      <c r="C50" s="23" t="s">
        <v>993</v>
      </c>
    </row>
    <row r="51" spans="1:3" ht="13.8">
      <c r="A51" s="24" t="s">
        <v>999</v>
      </c>
      <c r="B51" s="25">
        <v>1405</v>
      </c>
      <c r="C51" s="25" t="s">
        <v>993</v>
      </c>
    </row>
    <row r="52" spans="1:3" ht="13.8">
      <c r="A52" s="22" t="s">
        <v>999</v>
      </c>
      <c r="B52" s="23">
        <v>1502</v>
      </c>
      <c r="C52" s="23" t="s">
        <v>993</v>
      </c>
    </row>
    <row r="53" spans="1:3" ht="13.8">
      <c r="A53" s="24" t="s">
        <v>999</v>
      </c>
      <c r="B53" s="25">
        <v>1603</v>
      </c>
      <c r="C53" s="25" t="s">
        <v>993</v>
      </c>
    </row>
    <row r="54" spans="1:3" ht="13.8">
      <c r="A54" s="22" t="s">
        <v>999</v>
      </c>
      <c r="B54" s="23">
        <v>1703</v>
      </c>
      <c r="C54" s="23" t="s">
        <v>993</v>
      </c>
    </row>
    <row r="55" spans="1:3" ht="13.8">
      <c r="A55" s="24" t="s">
        <v>999</v>
      </c>
      <c r="B55" s="25">
        <v>1801</v>
      </c>
      <c r="C55" s="25" t="s">
        <v>993</v>
      </c>
    </row>
    <row r="56" spans="1:3" ht="13.8">
      <c r="A56" s="22" t="s">
        <v>999</v>
      </c>
      <c r="B56" s="23">
        <v>1805</v>
      </c>
      <c r="C56" s="23" t="s">
        <v>993</v>
      </c>
    </row>
    <row r="57" spans="1:3" ht="13.8">
      <c r="A57" s="24" t="s">
        <v>999</v>
      </c>
      <c r="B57" s="25">
        <v>1806</v>
      </c>
      <c r="C57" s="25" t="s">
        <v>993</v>
      </c>
    </row>
    <row r="58" spans="1:3" ht="13.8">
      <c r="A58" s="22" t="s">
        <v>999</v>
      </c>
      <c r="B58" s="23">
        <v>1902</v>
      </c>
      <c r="C58" s="23" t="s">
        <v>993</v>
      </c>
    </row>
    <row r="59" spans="1:3" ht="13.8">
      <c r="A59" s="24" t="s">
        <v>999</v>
      </c>
      <c r="B59" s="25">
        <v>1903</v>
      </c>
      <c r="C59" s="25" t="s">
        <v>993</v>
      </c>
    </row>
    <row r="60" spans="1:3" ht="13.8">
      <c r="A60" s="22" t="s">
        <v>999</v>
      </c>
      <c r="B60" s="23">
        <v>1904</v>
      </c>
      <c r="C60" s="23" t="s">
        <v>993</v>
      </c>
    </row>
    <row r="61" spans="1:3" ht="13.8">
      <c r="A61" s="22" t="s">
        <v>999</v>
      </c>
      <c r="B61" s="23">
        <v>1905</v>
      </c>
      <c r="C61" s="23" t="s">
        <v>994</v>
      </c>
    </row>
    <row r="62" spans="1:3" ht="13.8">
      <c r="A62" s="24" t="s">
        <v>999</v>
      </c>
      <c r="B62" s="25">
        <v>1906</v>
      </c>
      <c r="C62" s="25" t="s">
        <v>993</v>
      </c>
    </row>
    <row r="63" spans="1:3" ht="13.8">
      <c r="A63" s="22" t="s">
        <v>999</v>
      </c>
      <c r="B63" s="23">
        <v>1908</v>
      </c>
      <c r="C63" s="23" t="s">
        <v>993</v>
      </c>
    </row>
    <row r="64" spans="1:3" ht="13.8">
      <c r="A64" s="22" t="s">
        <v>999</v>
      </c>
      <c r="B64" s="23">
        <v>201</v>
      </c>
      <c r="C64" s="23" t="s">
        <v>993</v>
      </c>
    </row>
    <row r="65" spans="1:3" ht="13.8">
      <c r="A65" s="24" t="s">
        <v>999</v>
      </c>
      <c r="B65" s="25">
        <v>605</v>
      </c>
      <c r="C65" s="25" t="s">
        <v>993</v>
      </c>
    </row>
    <row r="66" spans="1:3" ht="13.8">
      <c r="A66" s="22" t="s">
        <v>999</v>
      </c>
      <c r="B66" s="23">
        <v>704</v>
      </c>
      <c r="C66" s="23" t="s">
        <v>993</v>
      </c>
    </row>
    <row r="67" spans="1:3" ht="13.8">
      <c r="A67" s="24" t="s">
        <v>999</v>
      </c>
      <c r="B67" s="25">
        <v>802</v>
      </c>
      <c r="C67" s="25" t="s">
        <v>993</v>
      </c>
    </row>
    <row r="68" spans="1:3" ht="14.4">
      <c r="A68" s="35" t="s">
        <v>1000</v>
      </c>
      <c r="B68" s="34"/>
      <c r="C68" s="34"/>
    </row>
    <row r="69" spans="1:3" ht="13.8">
      <c r="A69" s="21" t="s">
        <v>989</v>
      </c>
      <c r="B69" s="21" t="s">
        <v>990</v>
      </c>
      <c r="C69" s="21" t="s">
        <v>991</v>
      </c>
    </row>
    <row r="70" spans="1:3" ht="13.8">
      <c r="A70" s="24" t="s">
        <v>1001</v>
      </c>
      <c r="B70" s="25">
        <v>1202</v>
      </c>
      <c r="C70" s="25" t="s">
        <v>993</v>
      </c>
    </row>
    <row r="71" spans="1:3" ht="13.8">
      <c r="A71" s="22" t="s">
        <v>1001</v>
      </c>
      <c r="B71" s="23">
        <v>1207</v>
      </c>
      <c r="C71" s="23" t="s">
        <v>993</v>
      </c>
    </row>
    <row r="72" spans="1:3" ht="13.8">
      <c r="A72" s="22" t="s">
        <v>1001</v>
      </c>
      <c r="B72" s="23">
        <v>1405</v>
      </c>
      <c r="C72" s="23" t="s">
        <v>994</v>
      </c>
    </row>
    <row r="73" spans="1:3" ht="13.8">
      <c r="A73" s="22" t="s">
        <v>1001</v>
      </c>
      <c r="B73" s="23">
        <v>1408</v>
      </c>
      <c r="C73" s="23" t="s">
        <v>993</v>
      </c>
    </row>
    <row r="74" spans="1:3" ht="13.8">
      <c r="A74" s="22" t="s">
        <v>1001</v>
      </c>
      <c r="B74" s="23">
        <v>1005</v>
      </c>
      <c r="C74" s="23" t="s">
        <v>994</v>
      </c>
    </row>
    <row r="75" spans="1:3" ht="13.8">
      <c r="A75" s="22" t="s">
        <v>1001</v>
      </c>
      <c r="B75" s="23">
        <v>1101</v>
      </c>
      <c r="C75" s="23" t="s">
        <v>993</v>
      </c>
    </row>
    <row r="76" spans="1:3" ht="13.8">
      <c r="A76" s="22" t="s">
        <v>1001</v>
      </c>
      <c r="B76" s="23">
        <v>1102</v>
      </c>
      <c r="C76" s="23" t="s">
        <v>993</v>
      </c>
    </row>
    <row r="77" spans="1:3" ht="13.8">
      <c r="A77" s="24" t="s">
        <v>1001</v>
      </c>
      <c r="B77" s="25">
        <v>1105</v>
      </c>
      <c r="C77" s="25" t="s">
        <v>994</v>
      </c>
    </row>
    <row r="78" spans="1:3" ht="13.8">
      <c r="A78" s="24" t="s">
        <v>1001</v>
      </c>
      <c r="B78" s="25">
        <v>1201</v>
      </c>
      <c r="C78" s="25" t="s">
        <v>993</v>
      </c>
    </row>
    <row r="79" spans="1:3" ht="13.8">
      <c r="A79" s="22" t="s">
        <v>1001</v>
      </c>
      <c r="B79" s="23">
        <v>1205</v>
      </c>
      <c r="C79" s="23" t="s">
        <v>994</v>
      </c>
    </row>
    <row r="80" spans="1:3" ht="13.8">
      <c r="A80" s="22" t="s">
        <v>1001</v>
      </c>
      <c r="B80" s="23" t="s">
        <v>1002</v>
      </c>
      <c r="C80" s="23" t="s">
        <v>993</v>
      </c>
    </row>
    <row r="81" spans="1:3" ht="13.8">
      <c r="A81" s="22" t="s">
        <v>1001</v>
      </c>
      <c r="B81" s="23" t="s">
        <v>1003</v>
      </c>
      <c r="C81" s="23" t="s">
        <v>994</v>
      </c>
    </row>
    <row r="82" spans="1:3" ht="13.8">
      <c r="A82" s="24" t="s">
        <v>1001</v>
      </c>
      <c r="B82" s="25">
        <v>1403</v>
      </c>
      <c r="C82" s="25" t="s">
        <v>994</v>
      </c>
    </row>
    <row r="83" spans="1:3" ht="13.8">
      <c r="A83" s="22" t="s">
        <v>1001</v>
      </c>
      <c r="B83" s="23">
        <v>1408</v>
      </c>
      <c r="C83" s="23" t="s">
        <v>993</v>
      </c>
    </row>
    <row r="84" spans="1:3" ht="13.8">
      <c r="A84" s="22" t="s">
        <v>1001</v>
      </c>
      <c r="B84" s="23">
        <v>1407</v>
      </c>
      <c r="C84" s="23" t="s">
        <v>993</v>
      </c>
    </row>
    <row r="85" spans="1:3" ht="13.8">
      <c r="A85" s="24" t="s">
        <v>1001</v>
      </c>
      <c r="B85" s="25">
        <v>205</v>
      </c>
      <c r="C85" s="25" t="s">
        <v>994</v>
      </c>
    </row>
    <row r="86" spans="1:3" ht="13.8">
      <c r="A86" s="22" t="s">
        <v>1001</v>
      </c>
      <c r="B86" s="23">
        <v>102</v>
      </c>
      <c r="C86" s="23" t="s">
        <v>994</v>
      </c>
    </row>
    <row r="87" spans="1:3" ht="13.8">
      <c r="A87" s="24" t="s">
        <v>1001</v>
      </c>
      <c r="B87" s="25">
        <v>301</v>
      </c>
      <c r="C87" s="25" t="s">
        <v>993</v>
      </c>
    </row>
    <row r="88" spans="1:3" ht="13.8">
      <c r="A88" s="24" t="s">
        <v>1001</v>
      </c>
      <c r="B88" s="25">
        <v>305</v>
      </c>
      <c r="C88" s="25" t="s">
        <v>993</v>
      </c>
    </row>
    <row r="89" spans="1:3" ht="13.8">
      <c r="A89" s="22" t="s">
        <v>1001</v>
      </c>
      <c r="B89" s="23">
        <v>401</v>
      </c>
      <c r="C89" s="23" t="s">
        <v>993</v>
      </c>
    </row>
    <row r="90" spans="1:3" ht="13.8">
      <c r="A90" s="24" t="s">
        <v>1001</v>
      </c>
      <c r="B90" s="25">
        <v>403</v>
      </c>
      <c r="C90" s="25" t="s">
        <v>993</v>
      </c>
    </row>
    <row r="91" spans="1:3" ht="13.8">
      <c r="A91" s="22" t="s">
        <v>1001</v>
      </c>
      <c r="B91" s="23">
        <v>701</v>
      </c>
      <c r="C91" s="23" t="s">
        <v>993</v>
      </c>
    </row>
    <row r="92" spans="1:3" ht="13.8">
      <c r="A92" s="22" t="s">
        <v>1001</v>
      </c>
      <c r="B92" s="23">
        <v>702</v>
      </c>
      <c r="C92" s="23" t="s">
        <v>993</v>
      </c>
    </row>
    <row r="93" spans="1:3" ht="13.8">
      <c r="A93" s="24" t="s">
        <v>1001</v>
      </c>
      <c r="B93" s="25">
        <v>803</v>
      </c>
      <c r="C93" s="25" t="s">
        <v>993</v>
      </c>
    </row>
    <row r="94" spans="1:3" ht="13.8">
      <c r="A94" s="22" t="s">
        <v>1001</v>
      </c>
      <c r="B94" s="23">
        <v>902</v>
      </c>
      <c r="C94" s="23" t="s">
        <v>993</v>
      </c>
    </row>
    <row r="95" spans="1:3" ht="13.8">
      <c r="A95" s="24" t="s">
        <v>1001</v>
      </c>
      <c r="B95" s="25">
        <v>905</v>
      </c>
      <c r="C95" s="25" t="s">
        <v>993</v>
      </c>
    </row>
    <row r="97" spans="1:4" ht="21">
      <c r="A97" s="36" t="s">
        <v>1004</v>
      </c>
      <c r="B97" s="37"/>
      <c r="C97" s="26"/>
      <c r="D97" s="26"/>
    </row>
    <row r="98" spans="1:4" ht="14.4">
      <c r="A98" s="26"/>
      <c r="B98" s="26"/>
      <c r="C98" s="26"/>
      <c r="D98" s="26"/>
    </row>
    <row r="99" spans="1:4" ht="13.8">
      <c r="A99" s="27" t="s">
        <v>989</v>
      </c>
      <c r="B99" s="27" t="s">
        <v>1005</v>
      </c>
      <c r="C99" s="27" t="s">
        <v>1006</v>
      </c>
      <c r="D99" s="27" t="s">
        <v>1007</v>
      </c>
    </row>
    <row r="100" spans="1:4" ht="13.8">
      <c r="A100" s="28" t="s">
        <v>992</v>
      </c>
      <c r="B100" s="29">
        <v>13</v>
      </c>
      <c r="C100" s="29">
        <v>2</v>
      </c>
      <c r="D100" s="30">
        <v>15</v>
      </c>
    </row>
    <row r="101" spans="1:4" ht="13.8">
      <c r="A101" s="28" t="s">
        <v>996</v>
      </c>
      <c r="B101" s="29">
        <v>18</v>
      </c>
      <c r="C101" s="29">
        <v>7</v>
      </c>
      <c r="D101" s="30">
        <v>25</v>
      </c>
    </row>
    <row r="102" spans="1:4" ht="13.8">
      <c r="A102" s="28" t="s">
        <v>999</v>
      </c>
      <c r="B102" s="29">
        <v>19</v>
      </c>
      <c r="C102" s="29">
        <v>2</v>
      </c>
      <c r="D102" s="30">
        <v>21</v>
      </c>
    </row>
    <row r="103" spans="1:4" ht="13.8">
      <c r="A103" s="28" t="s">
        <v>1001</v>
      </c>
      <c r="B103" s="29">
        <v>18</v>
      </c>
      <c r="C103" s="29">
        <v>8</v>
      </c>
      <c r="D103" s="30">
        <v>26</v>
      </c>
    </row>
    <row r="104" spans="1:4" ht="13.8">
      <c r="A104" s="31" t="s">
        <v>1008</v>
      </c>
      <c r="B104" s="32">
        <v>68</v>
      </c>
      <c r="C104" s="32">
        <v>19</v>
      </c>
      <c r="D104" s="32">
        <v>87</v>
      </c>
    </row>
  </sheetData>
  <mergeCells count="5">
    <mergeCell ref="A1:C1"/>
    <mergeCell ref="A18:C18"/>
    <mergeCell ref="A45:C45"/>
    <mergeCell ref="A68:C68"/>
    <mergeCell ref="A97:B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485-INVENTORY</vt:lpstr>
      <vt:lpstr>TOWER-A-57</vt:lpstr>
      <vt:lpstr>TOWER-B-127</vt:lpstr>
      <vt:lpstr>TOWER-C-132</vt:lpstr>
      <vt:lpstr>TOWER-VAULT-83</vt:lpstr>
      <vt:lpstr>Shop-Commercial-8</vt:lpstr>
      <vt:lpstr>15-07-26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Shambhu Sharan</cp:lastModifiedBy>
  <dcterms:modified xsi:type="dcterms:W3CDTF">2026-07-18T04:30:44Z</dcterms:modified>
</cp:coreProperties>
</file>